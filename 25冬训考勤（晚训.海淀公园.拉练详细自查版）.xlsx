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HuaweiMoveData\Users\HUAWEI\Desktop\车协\"/>
    </mc:Choice>
  </mc:AlternateContent>
  <xr:revisionPtr revIDLastSave="0" documentId="13_ncr:1_{86B6BCA8-2FBC-4E5F-882D-11B5C862F50C}" xr6:coauthVersionLast="47" xr6:coauthVersionMax="47" xr10:uidLastSave="{00000000-0000-0000-0000-000000000000}"/>
  <bookViews>
    <workbookView xWindow="11080" yWindow="0" windowWidth="10600" windowHeight="107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" i="1" l="1"/>
  <c r="AB2" i="1" s="1"/>
  <c r="AA3" i="1"/>
  <c r="AB3" i="1" s="1"/>
  <c r="AA4" i="1"/>
  <c r="AA5" i="1"/>
  <c r="AA6" i="1"/>
  <c r="AB6" i="1" s="1"/>
  <c r="AA7" i="1"/>
  <c r="AB7" i="1" s="1"/>
  <c r="AA8" i="1"/>
  <c r="AB8" i="1" s="1"/>
  <c r="AA9" i="1"/>
  <c r="AB9" i="1" s="1"/>
  <c r="AA10" i="1"/>
  <c r="AA11" i="1"/>
  <c r="AB11" i="1" s="1"/>
  <c r="AA12" i="1"/>
  <c r="AB12" i="1" s="1"/>
  <c r="AA13" i="1"/>
  <c r="AB13" i="1" s="1"/>
  <c r="AA14" i="1"/>
  <c r="AB14" i="1" s="1"/>
  <c r="AA15" i="1"/>
  <c r="AB15" i="1" s="1"/>
  <c r="AA16" i="1"/>
  <c r="AB16" i="1" s="1"/>
  <c r="AA17" i="1"/>
  <c r="AB17" i="1" s="1"/>
  <c r="AA18" i="1"/>
  <c r="AA19" i="1"/>
  <c r="AA21" i="1"/>
  <c r="AB21" i="1" s="1"/>
  <c r="AA22" i="1"/>
  <c r="AB22" i="1" s="1"/>
  <c r="AA23" i="1"/>
  <c r="AB23" i="1" s="1"/>
  <c r="AA24" i="1"/>
  <c r="AB24" i="1" s="1"/>
  <c r="AA25" i="1"/>
  <c r="AB25" i="1" s="1"/>
  <c r="AA26" i="1"/>
  <c r="AB26" i="1" s="1"/>
  <c r="AA27" i="1"/>
  <c r="AB27" i="1" s="1"/>
  <c r="AA28" i="1"/>
  <c r="AB28" i="1" s="1"/>
  <c r="AA29" i="1"/>
  <c r="AB29" i="1" s="1"/>
  <c r="AA30" i="1"/>
  <c r="AB30" i="1" s="1"/>
  <c r="AA31" i="1"/>
  <c r="AB31" i="1" s="1"/>
  <c r="AA32" i="1"/>
  <c r="AB32" i="1" s="1"/>
  <c r="AA33" i="1"/>
  <c r="AB33" i="1" s="1"/>
  <c r="AA34" i="1"/>
  <c r="AB34" i="1" s="1"/>
  <c r="AA35" i="1"/>
  <c r="AB35" i="1" s="1"/>
  <c r="AA36" i="1"/>
  <c r="AB36" i="1" s="1"/>
  <c r="AA37" i="1"/>
  <c r="AB37" i="1" s="1"/>
  <c r="AA38" i="1"/>
  <c r="AB38" i="1" s="1"/>
  <c r="AA39" i="1"/>
  <c r="AB39" i="1" s="1"/>
  <c r="AA40" i="1"/>
  <c r="AB40" i="1" s="1"/>
  <c r="AA41" i="1"/>
  <c r="AB41" i="1" s="1"/>
  <c r="AA42" i="1"/>
  <c r="AB42" i="1" s="1"/>
  <c r="AA43" i="1"/>
  <c r="AB43" i="1" s="1"/>
  <c r="AA44" i="1"/>
  <c r="AB44" i="1" s="1"/>
  <c r="AA45" i="1"/>
  <c r="AB45" i="1" s="1"/>
  <c r="AA46" i="1"/>
  <c r="AB46" i="1" s="1"/>
  <c r="AA47" i="1"/>
  <c r="AB47" i="1" s="1"/>
  <c r="AA48" i="1"/>
  <c r="AB48" i="1" s="1"/>
  <c r="AA49" i="1"/>
  <c r="AB49" i="1" s="1"/>
  <c r="AA50" i="1"/>
  <c r="AB50" i="1" s="1"/>
  <c r="AA51" i="1"/>
  <c r="AB51" i="1" s="1"/>
  <c r="AA52" i="1"/>
  <c r="AB52" i="1" s="1"/>
  <c r="AA53" i="1"/>
  <c r="AA54" i="1"/>
  <c r="AB54" i="1" s="1"/>
  <c r="AA55" i="1"/>
  <c r="AB55" i="1" s="1"/>
  <c r="AA56" i="1"/>
  <c r="AB56" i="1" s="1"/>
  <c r="AA57" i="1"/>
  <c r="AB57" i="1" s="1"/>
  <c r="AA58" i="1"/>
  <c r="AB58" i="1" s="1"/>
  <c r="AA59" i="1"/>
  <c r="AB59" i="1" s="1"/>
  <c r="AA60" i="1"/>
  <c r="AB60" i="1" s="1"/>
  <c r="AA61" i="1"/>
  <c r="AB61" i="1" s="1"/>
  <c r="AA62" i="1"/>
  <c r="AB62" i="1" s="1"/>
  <c r="AA63" i="1"/>
  <c r="AB63" i="1" s="1"/>
  <c r="AA64" i="1"/>
  <c r="AB64" i="1" s="1"/>
  <c r="AA65" i="1"/>
  <c r="AB65" i="1" s="1"/>
  <c r="AA66" i="1"/>
  <c r="AB66" i="1" s="1"/>
  <c r="AA67" i="1"/>
  <c r="AB67" i="1" s="1"/>
  <c r="AA68" i="1"/>
  <c r="AB68" i="1" s="1"/>
  <c r="AA69" i="1"/>
  <c r="AB69" i="1" s="1"/>
  <c r="AA70" i="1"/>
  <c r="AB70" i="1" s="1"/>
  <c r="AA71" i="1"/>
  <c r="AB71" i="1" s="1"/>
  <c r="AA72" i="1"/>
  <c r="AB72" i="1" s="1"/>
  <c r="AA73" i="1"/>
  <c r="AB73" i="1" s="1"/>
  <c r="AA74" i="1"/>
  <c r="AB74" i="1" s="1"/>
  <c r="AA75" i="1"/>
  <c r="AA76" i="1"/>
  <c r="AB76" i="1" s="1"/>
  <c r="AA77" i="1"/>
  <c r="AB77" i="1" s="1"/>
  <c r="AA78" i="1"/>
  <c r="AB78" i="1" s="1"/>
  <c r="AA79" i="1"/>
  <c r="AB79" i="1" s="1"/>
  <c r="AA80" i="1"/>
  <c r="AB80" i="1" s="1"/>
  <c r="AA81" i="1"/>
  <c r="AB81" i="1" s="1"/>
  <c r="AA82" i="1"/>
  <c r="AB82" i="1" s="1"/>
  <c r="AA83" i="1"/>
  <c r="AB83" i="1" s="1"/>
  <c r="AA84" i="1"/>
  <c r="AB84" i="1" s="1"/>
  <c r="AA85" i="1"/>
  <c r="AB85" i="1" s="1"/>
  <c r="AA86" i="1"/>
  <c r="AB86" i="1" s="1"/>
  <c r="AA87" i="1"/>
  <c r="AB87" i="1" s="1"/>
  <c r="AA88" i="1"/>
  <c r="AB88" i="1" s="1"/>
  <c r="AA89" i="1"/>
  <c r="AB89" i="1" s="1"/>
  <c r="AA90" i="1"/>
  <c r="AB90" i="1" s="1"/>
  <c r="AA91" i="1"/>
  <c r="AB91" i="1" s="1"/>
  <c r="AA92" i="1"/>
  <c r="AB92" i="1" s="1"/>
  <c r="AA95" i="1"/>
  <c r="AB95" i="1" s="1"/>
  <c r="AA96" i="1"/>
  <c r="AB96" i="1" s="1"/>
  <c r="AA97" i="1"/>
  <c r="AB97" i="1" s="1"/>
  <c r="AA98" i="1"/>
  <c r="AB98" i="1" s="1"/>
  <c r="AA99" i="1"/>
  <c r="AB99" i="1" s="1"/>
  <c r="AA100" i="1"/>
  <c r="AB100" i="1" s="1"/>
  <c r="AA101" i="1"/>
  <c r="AB101" i="1" s="1"/>
  <c r="AA102" i="1"/>
  <c r="AB102" i="1" s="1"/>
  <c r="AA103" i="1"/>
  <c r="AB103" i="1" s="1"/>
  <c r="AA104" i="1"/>
  <c r="AB104" i="1" s="1"/>
  <c r="AA105" i="1"/>
  <c r="AB105" i="1" s="1"/>
  <c r="AA106" i="1"/>
  <c r="AB106" i="1" s="1"/>
  <c r="AA107" i="1"/>
  <c r="AB107" i="1" s="1"/>
  <c r="AA108" i="1"/>
  <c r="AB108" i="1" s="1"/>
  <c r="AA109" i="1"/>
  <c r="AB109" i="1" s="1"/>
  <c r="AA110" i="1"/>
  <c r="AA111" i="1"/>
  <c r="AA112" i="1"/>
  <c r="AA113" i="1"/>
  <c r="AA114" i="1"/>
  <c r="AB114" i="1" s="1"/>
  <c r="AA115" i="1"/>
  <c r="AB115" i="1" s="1"/>
  <c r="AA116" i="1"/>
  <c r="AB116" i="1" s="1"/>
  <c r="AA117" i="1"/>
  <c r="AB117" i="1" s="1"/>
  <c r="AA118" i="1"/>
  <c r="AB118" i="1" s="1"/>
  <c r="AA119" i="1"/>
  <c r="AB119" i="1" s="1"/>
  <c r="AA120" i="1"/>
  <c r="AB120" i="1" s="1"/>
  <c r="AA121" i="1"/>
  <c r="AB121" i="1" s="1"/>
  <c r="AA122" i="1"/>
  <c r="AB122" i="1" s="1"/>
  <c r="AA123" i="1"/>
  <c r="AB123" i="1" s="1"/>
  <c r="AA124" i="1"/>
  <c r="AB124" i="1" s="1"/>
  <c r="AA125" i="1"/>
  <c r="AB125" i="1" s="1"/>
  <c r="AA126" i="1"/>
  <c r="AB126" i="1" s="1"/>
  <c r="AA127" i="1"/>
  <c r="AB127" i="1" s="1"/>
  <c r="AA128" i="1"/>
  <c r="AB128" i="1" s="1"/>
  <c r="AA129" i="1"/>
  <c r="AB129" i="1" s="1"/>
  <c r="AA130" i="1"/>
  <c r="AB130" i="1" s="1"/>
  <c r="AA131" i="1"/>
  <c r="AB131" i="1" s="1"/>
  <c r="AA132" i="1"/>
  <c r="AB132" i="1" s="1"/>
  <c r="AA133" i="1"/>
  <c r="AB133" i="1" s="1"/>
  <c r="AA134" i="1"/>
  <c r="AB134" i="1" s="1"/>
  <c r="AA135" i="1"/>
  <c r="AB135" i="1" s="1"/>
  <c r="AA136" i="1"/>
  <c r="AB136" i="1" s="1"/>
  <c r="AA137" i="1"/>
  <c r="AB137" i="1" s="1"/>
  <c r="AA138" i="1"/>
  <c r="AB138" i="1" s="1"/>
  <c r="AA139" i="1"/>
  <c r="AB139" i="1" s="1"/>
  <c r="AA140" i="1"/>
  <c r="AB140" i="1" s="1"/>
  <c r="AA141" i="1"/>
  <c r="AB141" i="1" s="1"/>
  <c r="AA142" i="1"/>
  <c r="AB142" i="1" s="1"/>
  <c r="AA143" i="1"/>
  <c r="AB143" i="1" s="1"/>
  <c r="AA144" i="1"/>
  <c r="AB144" i="1" s="1"/>
  <c r="AA145" i="1"/>
  <c r="AB145" i="1" s="1"/>
  <c r="AA146" i="1"/>
  <c r="AB146" i="1" s="1"/>
  <c r="AA147" i="1"/>
  <c r="AB147" i="1" s="1"/>
  <c r="AA148" i="1"/>
  <c r="AB148" i="1" s="1"/>
  <c r="AA149" i="1"/>
  <c r="AB149" i="1" s="1"/>
  <c r="AA150" i="1"/>
  <c r="AB150" i="1" s="1"/>
  <c r="AA151" i="1"/>
  <c r="AB151" i="1" s="1"/>
  <c r="AA152" i="1"/>
  <c r="AB152" i="1" s="1"/>
  <c r="AA153" i="1"/>
  <c r="AB153" i="1" s="1"/>
  <c r="AA154" i="1"/>
  <c r="AB154" i="1" s="1"/>
  <c r="AA155" i="1"/>
  <c r="AB155" i="1" s="1"/>
  <c r="AA156" i="1"/>
  <c r="AB156" i="1" s="1"/>
  <c r="AB18" i="1"/>
  <c r="AB110" i="1"/>
  <c r="AB111" i="1"/>
  <c r="AB112" i="1"/>
  <c r="AB113" i="1"/>
  <c r="AB4" i="1"/>
  <c r="AB5" i="1"/>
  <c r="AB19" i="1"/>
  <c r="AB53" i="1"/>
  <c r="AB75" i="1"/>
  <c r="AH15" i="1"/>
  <c r="AH2" i="1"/>
  <c r="AH4" i="1"/>
  <c r="AH9" i="1"/>
  <c r="AH20" i="1"/>
  <c r="AH11" i="1"/>
  <c r="AH3" i="1"/>
  <c r="AH6" i="1"/>
  <c r="AH5" i="1"/>
  <c r="AH12" i="1"/>
  <c r="AH7" i="1"/>
  <c r="AH14" i="1"/>
  <c r="AH21" i="1"/>
  <c r="AH16" i="1"/>
  <c r="AH23" i="1"/>
  <c r="AH8" i="1"/>
  <c r="AH32" i="1"/>
  <c r="AH33" i="1"/>
  <c r="AH13" i="1"/>
  <c r="AH17" i="1"/>
  <c r="AH24" i="1"/>
  <c r="AH18" i="1"/>
  <c r="AH19" i="1"/>
  <c r="AH29" i="1"/>
  <c r="AH47" i="1"/>
  <c r="AH30" i="1"/>
  <c r="AH39" i="1"/>
  <c r="AH25" i="1"/>
  <c r="AH22" i="1"/>
  <c r="AH26" i="1"/>
  <c r="AH55" i="1"/>
  <c r="AH40" i="1"/>
  <c r="AH31" i="1"/>
  <c r="AH41" i="1"/>
  <c r="AH48" i="1"/>
  <c r="AH34" i="1"/>
  <c r="AH42" i="1"/>
  <c r="AH35" i="1"/>
  <c r="AH43" i="1"/>
  <c r="AH59" i="1"/>
  <c r="AH38" i="1"/>
  <c r="AH60" i="1"/>
  <c r="AH44" i="1"/>
  <c r="AH28" i="1"/>
  <c r="AH45" i="1"/>
  <c r="AH36" i="1"/>
  <c r="AH37" i="1"/>
  <c r="AH27" i="1"/>
  <c r="AH49" i="1"/>
  <c r="AH57" i="1"/>
  <c r="AH65" i="1"/>
  <c r="AH50" i="1"/>
  <c r="AH51" i="1"/>
  <c r="AH46" i="1"/>
  <c r="AH74" i="1"/>
  <c r="AH75" i="1"/>
  <c r="AH76" i="1"/>
  <c r="AH56" i="1"/>
  <c r="AH61" i="1"/>
  <c r="AH77" i="1"/>
  <c r="AI77" i="1" s="1"/>
  <c r="AH52" i="1"/>
  <c r="AH62" i="1"/>
  <c r="AH86" i="1"/>
  <c r="AH87" i="1"/>
  <c r="AH66" i="1"/>
  <c r="AH88" i="1"/>
  <c r="AH67" i="1"/>
  <c r="AH68" i="1"/>
  <c r="AH58" i="1"/>
  <c r="AH63" i="1"/>
  <c r="AH69" i="1"/>
  <c r="AH89" i="1"/>
  <c r="AH78" i="1"/>
  <c r="AH96" i="1"/>
  <c r="AH97" i="1"/>
  <c r="AH98" i="1"/>
  <c r="AH79" i="1"/>
  <c r="AH99" i="1"/>
  <c r="AH80" i="1"/>
  <c r="AH100" i="1"/>
  <c r="AH101" i="1"/>
  <c r="AH102" i="1"/>
  <c r="AH103" i="1"/>
  <c r="AH53" i="1"/>
  <c r="AH81" i="1"/>
  <c r="AH82" i="1"/>
  <c r="AH105" i="1"/>
  <c r="AH54" i="1"/>
  <c r="AH106" i="1"/>
  <c r="AH107" i="1"/>
  <c r="AH108" i="1"/>
  <c r="AH109" i="1"/>
  <c r="AH110" i="1"/>
  <c r="AH111" i="1"/>
  <c r="AH112" i="1"/>
  <c r="AH113" i="1"/>
  <c r="AH90" i="1"/>
  <c r="AH114" i="1"/>
  <c r="AH91" i="1"/>
  <c r="AH83" i="1"/>
  <c r="AH92" i="1"/>
  <c r="AH115" i="1"/>
  <c r="AH116" i="1"/>
  <c r="AH70" i="1"/>
  <c r="AH104" i="1"/>
  <c r="AH133" i="1"/>
  <c r="AH134" i="1"/>
  <c r="AH84" i="1"/>
  <c r="AH85" i="1"/>
  <c r="AH64" i="1"/>
  <c r="AH135" i="1"/>
  <c r="AH136" i="1"/>
  <c r="AI136" i="1" s="1"/>
  <c r="AH117" i="1"/>
  <c r="AI117" i="1" s="1"/>
  <c r="AH137" i="1"/>
  <c r="AI137" i="1" s="1"/>
  <c r="AH138" i="1"/>
  <c r="AI138" i="1" s="1"/>
  <c r="AH139" i="1"/>
  <c r="AI139" i="1" s="1"/>
  <c r="AH140" i="1"/>
  <c r="AI140" i="1" s="1"/>
  <c r="AH118" i="1"/>
  <c r="AI118" i="1" s="1"/>
  <c r="AH141" i="1"/>
  <c r="AI141" i="1" s="1"/>
  <c r="AH142" i="1"/>
  <c r="AI142" i="1" s="1"/>
  <c r="AH119" i="1"/>
  <c r="AI119" i="1" s="1"/>
  <c r="AH143" i="1"/>
  <c r="AI143" i="1" s="1"/>
  <c r="AH144" i="1"/>
  <c r="AI144" i="1" s="1"/>
  <c r="AH120" i="1"/>
  <c r="AI120" i="1" s="1"/>
  <c r="AH71" i="1"/>
  <c r="AI71" i="1" s="1"/>
  <c r="AH145" i="1"/>
  <c r="AI145" i="1" s="1"/>
  <c r="AH146" i="1"/>
  <c r="AI146" i="1" s="1"/>
  <c r="AH147" i="1"/>
  <c r="AI147" i="1" s="1"/>
  <c r="AH148" i="1"/>
  <c r="AI148" i="1" s="1"/>
  <c r="AH149" i="1"/>
  <c r="AI149" i="1" s="1"/>
  <c r="AH150" i="1"/>
  <c r="AI150" i="1" s="1"/>
  <c r="AH151" i="1"/>
  <c r="AI151" i="1" s="1"/>
  <c r="AH121" i="1"/>
  <c r="AI121" i="1" s="1"/>
  <c r="AH152" i="1"/>
  <c r="AI152" i="1" s="1"/>
  <c r="AH153" i="1"/>
  <c r="AI153" i="1" s="1"/>
  <c r="AH154" i="1"/>
  <c r="AI154" i="1" s="1"/>
  <c r="AH155" i="1"/>
  <c r="AI155" i="1" s="1"/>
  <c r="AH156" i="1"/>
  <c r="AI156" i="1" s="1"/>
  <c r="AH93" i="1"/>
  <c r="AI93" i="1" s="1"/>
  <c r="AH94" i="1"/>
  <c r="AI94" i="1" s="1"/>
  <c r="AH122" i="1"/>
  <c r="AI122" i="1" s="1"/>
  <c r="AH72" i="1"/>
  <c r="AI72" i="1" s="1"/>
  <c r="AH123" i="1"/>
  <c r="AI123" i="1" s="1"/>
  <c r="AH124" i="1"/>
  <c r="AI124" i="1" s="1"/>
  <c r="AH125" i="1"/>
  <c r="AI125" i="1" s="1"/>
  <c r="AH95" i="1"/>
  <c r="AI95" i="1" s="1"/>
  <c r="AH73" i="1"/>
  <c r="AI73" i="1" s="1"/>
  <c r="AH126" i="1"/>
  <c r="AI126" i="1" s="1"/>
  <c r="AH127" i="1"/>
  <c r="AI127" i="1" s="1"/>
  <c r="AH128" i="1"/>
  <c r="AI128" i="1" s="1"/>
  <c r="AH129" i="1"/>
  <c r="AI129" i="1" s="1"/>
  <c r="AH130" i="1"/>
  <c r="AI130" i="1" s="1"/>
  <c r="AH131" i="1"/>
  <c r="AI131" i="1" s="1"/>
  <c r="AH132" i="1"/>
  <c r="AI132" i="1" s="1"/>
  <c r="AH10" i="1"/>
  <c r="AC116" i="1"/>
  <c r="AC81" i="1"/>
  <c r="AC70" i="1"/>
  <c r="AC135" i="1"/>
  <c r="AC64" i="1"/>
  <c r="AC104" i="1"/>
  <c r="AC82" i="1"/>
  <c r="AC85" i="1"/>
  <c r="N93" i="1"/>
  <c r="O93" i="1" s="1"/>
  <c r="P93" i="1" s="1"/>
  <c r="Q93" i="1" s="1"/>
  <c r="R93" i="1" s="1"/>
  <c r="S93" i="1" s="1"/>
  <c r="T93" i="1" s="1"/>
  <c r="O94" i="1"/>
  <c r="Q94" i="1"/>
  <c r="R94" i="1" s="1"/>
  <c r="S94" i="1" s="1"/>
  <c r="T94" i="1" s="1"/>
  <c r="AC84" i="1"/>
  <c r="AC134" i="1"/>
  <c r="AC133" i="1"/>
  <c r="AC115" i="1"/>
  <c r="AC53" i="1"/>
  <c r="AC92" i="1"/>
  <c r="AC83" i="1"/>
  <c r="AC91" i="1"/>
  <c r="AC2" i="1"/>
  <c r="AC15" i="1"/>
  <c r="AC9" i="1"/>
  <c r="AC4" i="1"/>
  <c r="AC32" i="1"/>
  <c r="AC33" i="1"/>
  <c r="AC21" i="1"/>
  <c r="AC11" i="1"/>
  <c r="AC5" i="1"/>
  <c r="AC12" i="1"/>
  <c r="AC7" i="1"/>
  <c r="AC14" i="1"/>
  <c r="AC3" i="1"/>
  <c r="AC6" i="1"/>
  <c r="AC16" i="1"/>
  <c r="AC13" i="1"/>
  <c r="AC23" i="1"/>
  <c r="AC47" i="1"/>
  <c r="AC30" i="1"/>
  <c r="AC17" i="1"/>
  <c r="AC8" i="1"/>
  <c r="AC19" i="1"/>
  <c r="AC40" i="1"/>
  <c r="AC31" i="1"/>
  <c r="AC24" i="1"/>
  <c r="AC25" i="1"/>
  <c r="AC22" i="1"/>
  <c r="AC55" i="1"/>
  <c r="AC48" i="1"/>
  <c r="AC39" i="1"/>
  <c r="AC34" i="1"/>
  <c r="AC18" i="1"/>
  <c r="AC59" i="1"/>
  <c r="AC29" i="1"/>
  <c r="AC38" i="1"/>
  <c r="AC60" i="1"/>
  <c r="AC44" i="1"/>
  <c r="AC42" i="1"/>
  <c r="AC28" i="1"/>
  <c r="AC26" i="1"/>
  <c r="AC35" i="1"/>
  <c r="AC49" i="1"/>
  <c r="AC57" i="1"/>
  <c r="AC41" i="1"/>
  <c r="AC65" i="1"/>
  <c r="AC37" i="1"/>
  <c r="AC43" i="1"/>
  <c r="AC50" i="1"/>
  <c r="AC74" i="1"/>
  <c r="AC75" i="1"/>
  <c r="AC76" i="1"/>
  <c r="AC45" i="1"/>
  <c r="AC56" i="1"/>
  <c r="AC61" i="1"/>
  <c r="AC27" i="1"/>
  <c r="AC36" i="1"/>
  <c r="AC51" i="1"/>
  <c r="AC86" i="1"/>
  <c r="AC87" i="1"/>
  <c r="AC66" i="1"/>
  <c r="AC77" i="1"/>
  <c r="AC88" i="1"/>
  <c r="AC67" i="1"/>
  <c r="AC68" i="1"/>
  <c r="AC58" i="1"/>
  <c r="AC46" i="1"/>
  <c r="AC63" i="1"/>
  <c r="AC69" i="1"/>
  <c r="AC52" i="1"/>
  <c r="AC89" i="1"/>
  <c r="AC96" i="1"/>
  <c r="AC97" i="1"/>
  <c r="AC98" i="1"/>
  <c r="AC79" i="1"/>
  <c r="AC99" i="1"/>
  <c r="AC80" i="1"/>
  <c r="AC100" i="1"/>
  <c r="AC101" i="1"/>
  <c r="AC102" i="1"/>
  <c r="AC103" i="1"/>
  <c r="AC62" i="1"/>
  <c r="AC105" i="1"/>
  <c r="AC54" i="1"/>
  <c r="AC106" i="1"/>
  <c r="AC107" i="1"/>
  <c r="AC108" i="1"/>
  <c r="AC109" i="1"/>
  <c r="AC110" i="1"/>
  <c r="AC111" i="1"/>
  <c r="AC112" i="1"/>
  <c r="AC78" i="1"/>
  <c r="AC113" i="1"/>
  <c r="AC90" i="1"/>
  <c r="AC114" i="1"/>
  <c r="O10" i="1"/>
  <c r="AC10" i="1" s="1"/>
  <c r="M20" i="1"/>
  <c r="N20" i="1"/>
  <c r="O20" i="1"/>
  <c r="P20" i="1"/>
  <c r="Q20" i="1"/>
  <c r="R20" i="1"/>
  <c r="S20" i="1"/>
  <c r="V1048576" i="1"/>
  <c r="AI85" i="1" l="1"/>
  <c r="AA20" i="1"/>
  <c r="AA93" i="1"/>
  <c r="AA94" i="1"/>
  <c r="AB94" i="1" s="1"/>
  <c r="AB20" i="1"/>
  <c r="AB93" i="1"/>
  <c r="AB10" i="1"/>
  <c r="AI25" i="1"/>
  <c r="AI84" i="1"/>
  <c r="AI98" i="1"/>
  <c r="AI50" i="1"/>
  <c r="AI10" i="1"/>
  <c r="AI91" i="1"/>
  <c r="AI108" i="1"/>
  <c r="AI67" i="1"/>
  <c r="AI43" i="1"/>
  <c r="AI16" i="1"/>
  <c r="AI24" i="1"/>
  <c r="AI17" i="1"/>
  <c r="AI48" i="1"/>
  <c r="AI81" i="1"/>
  <c r="AI103" i="1"/>
  <c r="AI65" i="1"/>
  <c r="AI97" i="1"/>
  <c r="AI61" i="1"/>
  <c r="AI133" i="1"/>
  <c r="AI114" i="1"/>
  <c r="AI107" i="1"/>
  <c r="AI102" i="1"/>
  <c r="AI96" i="1"/>
  <c r="AI88" i="1"/>
  <c r="AI56" i="1"/>
  <c r="AI57" i="1"/>
  <c r="AI60" i="1"/>
  <c r="AI41" i="1"/>
  <c r="AI30" i="1"/>
  <c r="AI33" i="1"/>
  <c r="AI12" i="1"/>
  <c r="AI2" i="1"/>
  <c r="AI104" i="1"/>
  <c r="AI90" i="1"/>
  <c r="AI106" i="1"/>
  <c r="AI101" i="1"/>
  <c r="AI78" i="1"/>
  <c r="AI66" i="1"/>
  <c r="AI76" i="1"/>
  <c r="AI49" i="1"/>
  <c r="AI38" i="1"/>
  <c r="AI31" i="1"/>
  <c r="AI47" i="1"/>
  <c r="AI32" i="1"/>
  <c r="AI5" i="1"/>
  <c r="AI15" i="1"/>
  <c r="AI70" i="1"/>
  <c r="AI113" i="1"/>
  <c r="AI54" i="1"/>
  <c r="AI100" i="1"/>
  <c r="AI89" i="1"/>
  <c r="AI87" i="1"/>
  <c r="AI75" i="1"/>
  <c r="AI27" i="1"/>
  <c r="AI59" i="1"/>
  <c r="AI40" i="1"/>
  <c r="AI29" i="1"/>
  <c r="AI8" i="1"/>
  <c r="AI6" i="1"/>
  <c r="AI135" i="1"/>
  <c r="AI116" i="1"/>
  <c r="AI112" i="1"/>
  <c r="AI105" i="1"/>
  <c r="AI80" i="1"/>
  <c r="AI69" i="1"/>
  <c r="AI86" i="1"/>
  <c r="AI74" i="1"/>
  <c r="AI37" i="1"/>
  <c r="AI55" i="1"/>
  <c r="AI19" i="1"/>
  <c r="AI23" i="1"/>
  <c r="AI3" i="1"/>
  <c r="AI64" i="1"/>
  <c r="AI115" i="1"/>
  <c r="AI111" i="1"/>
  <c r="AI82" i="1"/>
  <c r="AI99" i="1"/>
  <c r="AI63" i="1"/>
  <c r="AI62" i="1"/>
  <c r="AI46" i="1"/>
  <c r="AI36" i="1"/>
  <c r="AI35" i="1"/>
  <c r="AI26" i="1"/>
  <c r="AI18" i="1"/>
  <c r="AI11" i="1"/>
  <c r="AI92" i="1"/>
  <c r="AI110" i="1"/>
  <c r="AI79" i="1"/>
  <c r="AI58" i="1"/>
  <c r="AI52" i="1"/>
  <c r="AI51" i="1"/>
  <c r="AI45" i="1"/>
  <c r="AI42" i="1"/>
  <c r="AI22" i="1"/>
  <c r="AI21" i="1"/>
  <c r="AI83" i="1"/>
  <c r="AI109" i="1"/>
  <c r="AI53" i="1"/>
  <c r="AI68" i="1"/>
  <c r="AI28" i="1"/>
  <c r="AI34" i="1"/>
  <c r="AI14" i="1"/>
  <c r="AI9" i="1"/>
  <c r="AI134" i="1"/>
  <c r="AI44" i="1"/>
  <c r="AI39" i="1"/>
  <c r="AI13" i="1"/>
  <c r="AI7" i="1"/>
  <c r="AI4" i="1"/>
  <c r="AC20" i="1"/>
  <c r="AI20" i="1" s="1"/>
</calcChain>
</file>

<file path=xl/sharedStrings.xml><?xml version="1.0" encoding="utf-8"?>
<sst xmlns="http://schemas.openxmlformats.org/spreadsheetml/2006/main" count="215" uniqueCount="215">
  <si>
    <t>faltered</t>
    <phoneticPr fontId="1" type="noConversion"/>
  </si>
  <si>
    <t>桐</t>
    <phoneticPr fontId="1" type="noConversion"/>
  </si>
  <si>
    <t>HL</t>
    <phoneticPr fontId="1" type="noConversion"/>
  </si>
  <si>
    <t>暮辰</t>
    <phoneticPr fontId="1" type="noConversion"/>
  </si>
  <si>
    <t>AD钙</t>
    <phoneticPr fontId="1" type="noConversion"/>
  </si>
  <si>
    <t>橘猫</t>
    <phoneticPr fontId="1" type="noConversion"/>
  </si>
  <si>
    <t>羔子</t>
    <phoneticPr fontId="1" type="noConversion"/>
  </si>
  <si>
    <t>果子</t>
    <phoneticPr fontId="1" type="noConversion"/>
  </si>
  <si>
    <t>五猹</t>
    <phoneticPr fontId="1" type="noConversion"/>
  </si>
  <si>
    <t>兔狲</t>
    <phoneticPr fontId="1" type="noConversion"/>
  </si>
  <si>
    <t>小仓鼠</t>
    <phoneticPr fontId="1" type="noConversion"/>
  </si>
  <si>
    <t>鸣龟</t>
    <phoneticPr fontId="1" type="noConversion"/>
  </si>
  <si>
    <t>BlueG</t>
    <phoneticPr fontId="1" type="noConversion"/>
  </si>
  <si>
    <t>云岭茉莉白</t>
    <phoneticPr fontId="1" type="noConversion"/>
  </si>
  <si>
    <t>彩笔</t>
    <phoneticPr fontId="1" type="noConversion"/>
  </si>
  <si>
    <t>乙醇</t>
    <phoneticPr fontId="1" type="noConversion"/>
  </si>
  <si>
    <t>问道</t>
    <phoneticPr fontId="1" type="noConversion"/>
  </si>
  <si>
    <t>斯图卡</t>
    <phoneticPr fontId="1" type="noConversion"/>
  </si>
  <si>
    <t>星梦</t>
    <phoneticPr fontId="1" type="noConversion"/>
  </si>
  <si>
    <t>诺可</t>
    <phoneticPr fontId="1" type="noConversion"/>
  </si>
  <si>
    <t>惊棠</t>
    <phoneticPr fontId="1" type="noConversion"/>
  </si>
  <si>
    <t>小瓜</t>
    <phoneticPr fontId="1" type="noConversion"/>
  </si>
  <si>
    <t>蓝宝儿</t>
    <phoneticPr fontId="1" type="noConversion"/>
  </si>
  <si>
    <t>highwayman</t>
    <phoneticPr fontId="1" type="noConversion"/>
  </si>
  <si>
    <t>华为</t>
    <phoneticPr fontId="1" type="noConversion"/>
  </si>
  <si>
    <t>越王</t>
    <phoneticPr fontId="1" type="noConversion"/>
  </si>
  <si>
    <t>牛肉汤圆</t>
    <phoneticPr fontId="1" type="noConversion"/>
  </si>
  <si>
    <t>苦瓜</t>
    <phoneticPr fontId="1" type="noConversion"/>
  </si>
  <si>
    <t>温瑶</t>
    <phoneticPr fontId="1" type="noConversion"/>
  </si>
  <si>
    <t>菜豆</t>
    <phoneticPr fontId="1" type="noConversion"/>
  </si>
  <si>
    <t>有趣的大螃蟹</t>
    <phoneticPr fontId="1" type="noConversion"/>
  </si>
  <si>
    <t>华年</t>
    <phoneticPr fontId="1" type="noConversion"/>
  </si>
  <si>
    <t>游乐</t>
    <phoneticPr fontId="1" type="noConversion"/>
  </si>
  <si>
    <t>徐行</t>
    <phoneticPr fontId="1" type="noConversion"/>
  </si>
  <si>
    <t>咖喱棒</t>
    <phoneticPr fontId="1" type="noConversion"/>
  </si>
  <si>
    <t>Kody</t>
    <phoneticPr fontId="1" type="noConversion"/>
  </si>
  <si>
    <t>森云</t>
    <phoneticPr fontId="1" type="noConversion"/>
  </si>
  <si>
    <t>椰汁</t>
    <phoneticPr fontId="1" type="noConversion"/>
  </si>
  <si>
    <t>汤圆君</t>
    <phoneticPr fontId="1" type="noConversion"/>
  </si>
  <si>
    <t>千钨</t>
    <phoneticPr fontId="1" type="noConversion"/>
  </si>
  <si>
    <t>肖肖</t>
    <phoneticPr fontId="1" type="noConversion"/>
  </si>
  <si>
    <t>麦扣</t>
    <phoneticPr fontId="1" type="noConversion"/>
  </si>
  <si>
    <t>聆风</t>
    <phoneticPr fontId="1" type="noConversion"/>
  </si>
  <si>
    <t>关山</t>
    <phoneticPr fontId="1" type="noConversion"/>
  </si>
  <si>
    <t>彗星</t>
    <phoneticPr fontId="1" type="noConversion"/>
  </si>
  <si>
    <t>小tree</t>
    <phoneticPr fontId="1" type="noConversion"/>
  </si>
  <si>
    <t>子海</t>
    <phoneticPr fontId="1" type="noConversion"/>
  </si>
  <si>
    <t>飞舟</t>
    <phoneticPr fontId="1" type="noConversion"/>
  </si>
  <si>
    <t>钟意</t>
    <phoneticPr fontId="1" type="noConversion"/>
  </si>
  <si>
    <t>月霜</t>
    <phoneticPr fontId="1" type="noConversion"/>
  </si>
  <si>
    <t>木今</t>
    <phoneticPr fontId="1" type="noConversion"/>
  </si>
  <si>
    <t>浅言</t>
    <phoneticPr fontId="1" type="noConversion"/>
  </si>
  <si>
    <t>六爻</t>
    <phoneticPr fontId="1" type="noConversion"/>
  </si>
  <si>
    <t>诺有缸</t>
    <phoneticPr fontId="1" type="noConversion"/>
  </si>
  <si>
    <t>生椰拿铁</t>
    <phoneticPr fontId="1" type="noConversion"/>
  </si>
  <si>
    <t>脚趾</t>
    <phoneticPr fontId="1" type="noConversion"/>
  </si>
  <si>
    <t>铁铁</t>
    <phoneticPr fontId="1" type="noConversion"/>
  </si>
  <si>
    <t>羽毛</t>
    <phoneticPr fontId="1" type="noConversion"/>
  </si>
  <si>
    <t>喜欢鹅的猫</t>
    <phoneticPr fontId="1" type="noConversion"/>
  </si>
  <si>
    <t>九夏</t>
    <phoneticPr fontId="1" type="noConversion"/>
  </si>
  <si>
    <t>CHAIYI</t>
    <phoneticPr fontId="1" type="noConversion"/>
  </si>
  <si>
    <t>空城</t>
    <phoneticPr fontId="1" type="noConversion"/>
  </si>
  <si>
    <t>长河</t>
    <phoneticPr fontId="1" type="noConversion"/>
  </si>
  <si>
    <t>冬训1</t>
    <phoneticPr fontId="1" type="noConversion"/>
  </si>
  <si>
    <t>冬训2</t>
    <phoneticPr fontId="1" type="noConversion"/>
  </si>
  <si>
    <t>冬训3</t>
    <phoneticPr fontId="1" type="noConversion"/>
  </si>
  <si>
    <t>冬训4</t>
    <phoneticPr fontId="1" type="noConversion"/>
  </si>
  <si>
    <t>冬训5</t>
    <phoneticPr fontId="1" type="noConversion"/>
  </si>
  <si>
    <t>冬训6</t>
    <phoneticPr fontId="1" type="noConversion"/>
  </si>
  <si>
    <t>冬训7</t>
    <phoneticPr fontId="1" type="noConversion"/>
  </si>
  <si>
    <t>冬训8</t>
    <phoneticPr fontId="1" type="noConversion"/>
  </si>
  <si>
    <t>冬训9</t>
    <phoneticPr fontId="1" type="noConversion"/>
  </si>
  <si>
    <t>冬训10</t>
    <phoneticPr fontId="1" type="noConversion"/>
  </si>
  <si>
    <t>小仙贝</t>
    <phoneticPr fontId="1" type="noConversion"/>
  </si>
  <si>
    <t>黎明</t>
    <phoneticPr fontId="1" type="noConversion"/>
  </si>
  <si>
    <t>我是初音未来</t>
    <phoneticPr fontId="1" type="noConversion"/>
  </si>
  <si>
    <t>大文</t>
    <phoneticPr fontId="1" type="noConversion"/>
  </si>
  <si>
    <t>DMP</t>
    <phoneticPr fontId="1" type="noConversion"/>
  </si>
  <si>
    <t>水溶C100</t>
    <phoneticPr fontId="1" type="noConversion"/>
  </si>
  <si>
    <t>Beren</t>
    <phoneticPr fontId="1" type="noConversion"/>
  </si>
  <si>
    <t>干戈</t>
    <phoneticPr fontId="1" type="noConversion"/>
  </si>
  <si>
    <t>無</t>
    <phoneticPr fontId="1" type="noConversion"/>
  </si>
  <si>
    <t>MasterQuark</t>
    <phoneticPr fontId="1" type="noConversion"/>
  </si>
  <si>
    <t>苞谷</t>
    <phoneticPr fontId="1" type="noConversion"/>
  </si>
  <si>
    <t>st_John</t>
    <phoneticPr fontId="1" type="noConversion"/>
  </si>
  <si>
    <t>OuO</t>
    <phoneticPr fontId="1" type="noConversion"/>
  </si>
  <si>
    <t>挽风</t>
    <phoneticPr fontId="1" type="noConversion"/>
  </si>
  <si>
    <t>饼饼饼饼饼</t>
    <phoneticPr fontId="1" type="noConversion"/>
  </si>
  <si>
    <t>南有乔木</t>
    <phoneticPr fontId="1" type="noConversion"/>
  </si>
  <si>
    <t>白天真</t>
    <phoneticPr fontId="1" type="noConversion"/>
  </si>
  <si>
    <t>Tom</t>
    <phoneticPr fontId="1" type="noConversion"/>
  </si>
  <si>
    <t>Mini</t>
    <phoneticPr fontId="1" type="noConversion"/>
  </si>
  <si>
    <t>常识人</t>
    <phoneticPr fontId="1" type="noConversion"/>
  </si>
  <si>
    <t>雾路</t>
    <phoneticPr fontId="1" type="noConversion"/>
  </si>
  <si>
    <t>柏拉图</t>
    <phoneticPr fontId="1" type="noConversion"/>
  </si>
  <si>
    <t>丙子</t>
    <phoneticPr fontId="1" type="noConversion"/>
  </si>
  <si>
    <t>crashed</t>
    <phoneticPr fontId="1" type="noConversion"/>
  </si>
  <si>
    <t>一本字典</t>
    <phoneticPr fontId="1" type="noConversion"/>
  </si>
  <si>
    <t>王屹洲</t>
    <phoneticPr fontId="1" type="noConversion"/>
  </si>
  <si>
    <t>蓝毛仔</t>
    <phoneticPr fontId="1" type="noConversion"/>
  </si>
  <si>
    <t>初见</t>
    <phoneticPr fontId="1" type="noConversion"/>
  </si>
  <si>
    <t>清辉</t>
    <phoneticPr fontId="1" type="noConversion"/>
  </si>
  <si>
    <t>坐标系</t>
    <phoneticPr fontId="1" type="noConversion"/>
  </si>
  <si>
    <t>洼洼</t>
    <phoneticPr fontId="1" type="noConversion"/>
  </si>
  <si>
    <t>三改火</t>
    <phoneticPr fontId="1" type="noConversion"/>
  </si>
  <si>
    <t>Aurora-3</t>
    <phoneticPr fontId="1" type="noConversion"/>
  </si>
  <si>
    <t>花肥</t>
    <phoneticPr fontId="1" type="noConversion"/>
  </si>
  <si>
    <t>九月OI</t>
    <phoneticPr fontId="1" type="noConversion"/>
  </si>
  <si>
    <t>双柚汁</t>
    <phoneticPr fontId="1" type="noConversion"/>
  </si>
  <si>
    <t>AO</t>
    <phoneticPr fontId="1" type="noConversion"/>
  </si>
  <si>
    <t>潇兰</t>
    <phoneticPr fontId="1" type="noConversion"/>
  </si>
  <si>
    <t>cc</t>
    <phoneticPr fontId="1" type="noConversion"/>
  </si>
  <si>
    <t>明山</t>
    <phoneticPr fontId="1" type="noConversion"/>
  </si>
  <si>
    <t>卡卡卡</t>
    <phoneticPr fontId="1" type="noConversion"/>
  </si>
  <si>
    <t>姓名/晚训</t>
    <phoneticPr fontId="1" type="noConversion"/>
  </si>
  <si>
    <t>一片叶子</t>
    <phoneticPr fontId="1" type="noConversion"/>
  </si>
  <si>
    <t>归尘</t>
    <phoneticPr fontId="1" type="noConversion"/>
  </si>
  <si>
    <t>余割</t>
    <phoneticPr fontId="1" type="noConversion"/>
  </si>
  <si>
    <t>哧溜儿</t>
    <phoneticPr fontId="1" type="noConversion"/>
  </si>
  <si>
    <t>OX酱</t>
    <phoneticPr fontId="1" type="noConversion"/>
  </si>
  <si>
    <t>沉樯</t>
  </si>
  <si>
    <t>鬼火</t>
    <phoneticPr fontId="1" type="noConversion"/>
  </si>
  <si>
    <t>大道之行</t>
    <phoneticPr fontId="1" type="noConversion"/>
  </si>
  <si>
    <t>CleverMing</t>
    <phoneticPr fontId="1" type="noConversion"/>
  </si>
  <si>
    <t>纯风</t>
    <phoneticPr fontId="1" type="noConversion"/>
  </si>
  <si>
    <t>悠然</t>
    <phoneticPr fontId="1" type="noConversion"/>
  </si>
  <si>
    <t>枭雄</t>
    <phoneticPr fontId="1" type="noConversion"/>
  </si>
  <si>
    <t>小酒</t>
    <phoneticPr fontId="1" type="noConversion"/>
  </si>
  <si>
    <t>章鱼哥</t>
    <phoneticPr fontId="1" type="noConversion"/>
  </si>
  <si>
    <t>踏月</t>
    <phoneticPr fontId="1" type="noConversion"/>
  </si>
  <si>
    <t>观海</t>
    <phoneticPr fontId="1" type="noConversion"/>
  </si>
  <si>
    <t>朱泰旭</t>
    <phoneticPr fontId="1" type="noConversion"/>
  </si>
  <si>
    <t>Sophia</t>
  </si>
  <si>
    <t>ADP</t>
    <phoneticPr fontId="1" type="noConversion"/>
  </si>
  <si>
    <t>青鸟</t>
    <phoneticPr fontId="1" type="noConversion"/>
  </si>
  <si>
    <t>晙晖</t>
  </si>
  <si>
    <t>蓝</t>
    <phoneticPr fontId="1" type="noConversion"/>
  </si>
  <si>
    <t>冬训11</t>
    <phoneticPr fontId="1" type="noConversion"/>
  </si>
  <si>
    <t>果丹皮</t>
    <phoneticPr fontId="1" type="noConversion"/>
  </si>
  <si>
    <t>冬训13</t>
    <phoneticPr fontId="1" type="noConversion"/>
  </si>
  <si>
    <t>冬训14</t>
    <phoneticPr fontId="1" type="noConversion"/>
  </si>
  <si>
    <t>冬训15</t>
    <phoneticPr fontId="1" type="noConversion"/>
  </si>
  <si>
    <t>冬训16</t>
    <phoneticPr fontId="1" type="noConversion"/>
  </si>
  <si>
    <t>冬训17</t>
    <phoneticPr fontId="1" type="noConversion"/>
  </si>
  <si>
    <t>冬训18</t>
    <phoneticPr fontId="1" type="noConversion"/>
  </si>
  <si>
    <t>灵灵七</t>
    <phoneticPr fontId="1" type="noConversion"/>
  </si>
  <si>
    <t>小宋</t>
    <phoneticPr fontId="1" type="noConversion"/>
  </si>
  <si>
    <t>烟火</t>
  </si>
  <si>
    <t>上线</t>
    <phoneticPr fontId="1" type="noConversion"/>
  </si>
  <si>
    <t>芋圆</t>
  </si>
  <si>
    <t>dudu</t>
    <phoneticPr fontId="1" type="noConversion"/>
  </si>
  <si>
    <t>硅水化合物</t>
    <phoneticPr fontId="1" type="noConversion"/>
  </si>
  <si>
    <t>purple rain</t>
    <phoneticPr fontId="1" type="noConversion"/>
  </si>
  <si>
    <t>大运河</t>
  </si>
  <si>
    <t>十三陵</t>
    <phoneticPr fontId="1" type="noConversion"/>
  </si>
  <si>
    <t>石花洞</t>
  </si>
  <si>
    <t>Joker</t>
    <phoneticPr fontId="1" type="noConversion"/>
  </si>
  <si>
    <t>红色拖拉机</t>
    <phoneticPr fontId="1" type="noConversion"/>
  </si>
  <si>
    <t>紫花地丁</t>
    <phoneticPr fontId="1" type="noConversion"/>
  </si>
  <si>
    <t>橡皮</t>
  </si>
  <si>
    <t>鱼仔</t>
  </si>
  <si>
    <t>花熊</t>
  </si>
  <si>
    <t>支原体</t>
  </si>
  <si>
    <t>帆似特</t>
  </si>
  <si>
    <t>十月</t>
  </si>
  <si>
    <t>鲨鱼</t>
  </si>
  <si>
    <t>无头骑士</t>
  </si>
  <si>
    <t>好蛋</t>
  </si>
  <si>
    <t>阿飞666</t>
  </si>
  <si>
    <t>毛球</t>
  </si>
  <si>
    <t>鹦鹉</t>
  </si>
  <si>
    <t>三里</t>
  </si>
  <si>
    <t>白玉</t>
  </si>
  <si>
    <t>萝卟头</t>
    <phoneticPr fontId="1" type="noConversion"/>
  </si>
  <si>
    <t>冰苎</t>
  </si>
  <si>
    <t>guyusama</t>
  </si>
  <si>
    <t>飞蝶</t>
  </si>
  <si>
    <t>海底</t>
  </si>
  <si>
    <t>栖风</t>
  </si>
  <si>
    <t>小熊猫猫</t>
    <phoneticPr fontId="1" type="noConversion"/>
  </si>
  <si>
    <t>还也</t>
    <phoneticPr fontId="1" type="noConversion"/>
  </si>
  <si>
    <t>Ⅰ型超新星</t>
    <phoneticPr fontId="1" type="noConversion"/>
  </si>
  <si>
    <t>高原巧克力</t>
  </si>
  <si>
    <t>小轩</t>
  </si>
  <si>
    <t>Ay</t>
  </si>
  <si>
    <t>云nauge</t>
    <phoneticPr fontId="1" type="noConversion"/>
  </si>
  <si>
    <t>明非</t>
  </si>
  <si>
    <t>南雲中酱</t>
  </si>
  <si>
    <t>辣条</t>
  </si>
  <si>
    <t>春</t>
    <phoneticPr fontId="1" type="noConversion"/>
  </si>
  <si>
    <t>杰杰</t>
  </si>
  <si>
    <t>小笨熊</t>
  </si>
  <si>
    <t>圆</t>
  </si>
  <si>
    <t>独奏</t>
    <phoneticPr fontId="1" type="noConversion"/>
  </si>
  <si>
    <t>冬训12</t>
    <phoneticPr fontId="1" type="noConversion"/>
  </si>
  <si>
    <t>Arendt</t>
    <phoneticPr fontId="1" type="noConversion"/>
  </si>
  <si>
    <t>大杨山</t>
    <phoneticPr fontId="1" type="noConversion"/>
  </si>
  <si>
    <t>冬训积分</t>
    <phoneticPr fontId="1" type="noConversion"/>
  </si>
  <si>
    <t>hdgy1</t>
    <phoneticPr fontId="1" type="noConversion"/>
  </si>
  <si>
    <t>hdgy2</t>
    <phoneticPr fontId="1" type="noConversion"/>
  </si>
  <si>
    <t>沧海月明</t>
    <phoneticPr fontId="1" type="noConversion"/>
  </si>
  <si>
    <t>日立</t>
    <phoneticPr fontId="1" type="noConversion"/>
  </si>
  <si>
    <t>小林</t>
  </si>
  <si>
    <t>石市黄三</t>
    <phoneticPr fontId="1" type="noConversion"/>
  </si>
  <si>
    <t>马Boy</t>
    <phoneticPr fontId="1" type="noConversion"/>
  </si>
  <si>
    <t>总拉练</t>
    <phoneticPr fontId="1" type="noConversion"/>
  </si>
  <si>
    <t>列1</t>
  </si>
  <si>
    <t>冬训19</t>
  </si>
  <si>
    <t>冬训20</t>
  </si>
  <si>
    <t>冬训21</t>
  </si>
  <si>
    <t>冬训22</t>
  </si>
  <si>
    <t>总训练</t>
    <phoneticPr fontId="1" type="noConversion"/>
  </si>
  <si>
    <t>问道</t>
    <phoneticPr fontId="1" type="noConversion"/>
  </si>
  <si>
    <t>晚训后九次积分</t>
    <phoneticPr fontId="1" type="noConversion"/>
  </si>
  <si>
    <t>后九次少于三分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</si>
</sst>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4" tint="-0.249977111117893"/>
      <name val="等线"/>
      <family val="2"/>
      <scheme val="minor"/>
    </font>
    <font>
      <sz val="11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0" fillId="0" borderId="1" xfId="0" applyBorder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常规" xfId="0" builtinId="0"/>
  </cellStyles>
  <dxfs count="68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A6A742-FF31-4F55-81A8-21E4E15772B3}" name="表1" displayName="表1" ref="A1:AI157" totalsRowCount="1">
  <autoFilter ref="A1:AI156" xr:uid="{DCA6A742-FF31-4F55-81A8-21E4E15772B3}"/>
  <sortState xmlns:xlrd2="http://schemas.microsoft.com/office/spreadsheetml/2017/richdata2" ref="A2:AI156">
    <sortCondition descending="1" ref="AI1:AI156"/>
  </sortState>
  <tableColumns count="35">
    <tableColumn id="1" xr3:uid="{2A56AE54-3636-44DD-81B5-2D5A2E18A597}" name="姓名/晚训" totalsRowLabel="三里"/>
    <tableColumn id="3" xr3:uid="{70EB44AE-E3CC-49CB-B24F-DACC09262F6E}" name="列1" dataDxfId="67" totalsRowDxfId="33"/>
    <tableColumn id="4" xr3:uid="{4A3BA08A-8253-4ED8-87D0-16D49C28154E}" name="冬训1" dataDxfId="66" totalsRowDxfId="32"/>
    <tableColumn id="5" xr3:uid="{25974BB5-9921-453E-AFF4-C69CE01C787B}" name="冬训2" dataDxfId="65" totalsRowDxfId="31"/>
    <tableColumn id="6" xr3:uid="{245705D5-5C24-4F1C-B866-1818F232C262}" name="冬训3" dataDxfId="64" totalsRowDxfId="30"/>
    <tableColumn id="7" xr3:uid="{669F9E71-473C-4193-A1C1-323D4A67B02C}" name="冬训4" dataDxfId="63" totalsRowDxfId="29"/>
    <tableColumn id="8" xr3:uid="{F64733F5-C4B5-4DBF-A268-9B090B60F3AD}" name="冬训5" dataDxfId="62" totalsRowDxfId="28"/>
    <tableColumn id="9" xr3:uid="{B9840D6B-76E1-4AFC-A7C3-F426B49029A6}" name="冬训6" dataDxfId="61" totalsRowDxfId="27"/>
    <tableColumn id="10" xr3:uid="{26366782-342E-48AA-AACB-2E5C7DDC8503}" name="冬训7" dataDxfId="60" totalsRowDxfId="26"/>
    <tableColumn id="11" xr3:uid="{186EB5B6-F959-4803-BBD2-6D06A1F849CC}" name="冬训8" dataDxfId="59" totalsRowDxfId="25"/>
    <tableColumn id="13" xr3:uid="{C5DD6420-3BD6-4E35-9DA2-CFB9CD7CE78E}" name="冬训9" dataDxfId="58" totalsRowDxfId="24"/>
    <tableColumn id="14" xr3:uid="{C8B27BFF-2A04-4DF6-A11B-6279F510F930}" name="冬训10" dataDxfId="57" totalsRowDxfId="23"/>
    <tableColumn id="15" xr3:uid="{A843E160-36A3-42FB-9E48-452848094737}" name="冬训11" dataDxfId="56" totalsRowDxfId="22"/>
    <tableColumn id="16" xr3:uid="{3F941CD5-C88B-4DE4-AAC1-7F9D54CC55FB}" name="冬训12" dataDxfId="55" totalsRowDxfId="21"/>
    <tableColumn id="17" xr3:uid="{725D2E88-BC25-4583-B538-1092BEF70C29}" name="冬训13" dataDxfId="54" totalsRowDxfId="20"/>
    <tableColumn id="18" xr3:uid="{E4B19B1A-FA66-4E39-BF0B-CA7F7C0BBA88}" name="冬训14" dataDxfId="53" totalsRowDxfId="19"/>
    <tableColumn id="19" xr3:uid="{C5CFF5B3-841E-4BDB-AB95-E8D5064F04F9}" name="冬训15" dataDxfId="52" totalsRowDxfId="18"/>
    <tableColumn id="20" xr3:uid="{9B5712DA-F891-48AE-9A54-E547D7901AF2}" name="冬训16" dataDxfId="51" totalsRowDxfId="17"/>
    <tableColumn id="24" xr3:uid="{3B877CB6-89FD-46D8-8476-71F2A9991DA4}" name="冬训17" dataDxfId="50" totalsRowDxfId="16"/>
    <tableColumn id="25" xr3:uid="{38288C80-A27D-40BD-B2D1-D2A9F35A9A6A}" name="冬训18" dataDxfId="49" totalsRowDxfId="15"/>
    <tableColumn id="27" xr3:uid="{CC72470C-E507-4CAD-A6AB-338D44EBFA61}" name="冬训19" dataDxfId="48" totalsRowDxfId="14"/>
    <tableColumn id="21" xr3:uid="{0F6F2941-25AF-44EC-B09C-BF6276D15DCA}" name="冬训20" dataDxfId="47" totalsRowDxfId="13"/>
    <tableColumn id="22" xr3:uid="{66AAAE51-8C0B-4045-804A-70ED0BD6596B}" name="冬训21" dataDxfId="46" totalsRowDxfId="12"/>
    <tableColumn id="28" xr3:uid="{FCA43F70-9242-48EF-B1FB-7AD4042C15D2}" name="冬训22" dataDxfId="45" totalsRowDxfId="11"/>
    <tableColumn id="30" xr3:uid="{D4E4E7E1-F710-414B-A41C-25316134E874}" name="hdgy1" dataDxfId="44" totalsRowDxfId="10"/>
    <tableColumn id="31" xr3:uid="{822AF954-BD40-4D65-8AE0-881BD7909A97}" name="hdgy2" dataDxfId="43" totalsRowDxfId="9"/>
    <tableColumn id="32" xr3:uid="{75C41DAE-ED8B-473C-88DF-A8A9422C0553}" name="晚训后九次积分" dataDxfId="42" totalsRowDxfId="8">
      <calculatedColumnFormula>SUM(表1[[#This Row],[冬训14]:[冬训22]])</calculatedColumnFormula>
    </tableColumn>
    <tableColumn id="37" xr3:uid="{842FA4FE-4193-41B3-9463-4DEE28C1621A}" name="后九次少于三分" dataDxfId="41" totalsRowDxfId="7">
      <calculatedColumnFormula>IF(表1[[#This Row],[晚训后九次积分]]&lt;3,"少于3分"," ")</calculatedColumnFormula>
    </tableColumn>
    <tableColumn id="2" xr3:uid="{261C401E-C898-48EC-8AFC-78AF973DB3F3}" name="总训练" dataDxfId="40" totalsRowDxfId="6"/>
    <tableColumn id="12" xr3:uid="{686EA5B6-1131-4D50-A44A-50E0E00AD3AC}" name="大运河" dataDxfId="39" totalsRowDxfId="5"/>
    <tableColumn id="23" xr3:uid="{E2C8D991-6918-4F1C-ACDB-AA42BBD208C2}" name="十三陵" dataDxfId="38" totalsRowDxfId="4"/>
    <tableColumn id="26" xr3:uid="{4D2BB031-9CD9-4601-9780-C9AD52751C15}" name="石花洞" dataDxfId="37" totalsRowDxfId="3"/>
    <tableColumn id="33" xr3:uid="{33882A20-61DA-4B3A-99E7-24CF7C0AF7EE}" name="大杨山" dataDxfId="36" totalsRowDxfId="2"/>
    <tableColumn id="36" xr3:uid="{F1C0B6E4-5381-4679-A101-434705F8EB18}" name="总拉练" dataDxfId="35" totalsRowDxfId="1">
      <calculatedColumnFormula>SUM(表1[[#This Row],[大运河]:[大杨山]])</calculatedColumnFormula>
    </tableColumn>
    <tableColumn id="35" xr3:uid="{F877CC8B-9B47-4BDF-9378-4563C4D3901E}" name="冬训积分" dataDxfId="34" totalsRowDxfId="0">
      <calculatedColumnFormula>表1[[#This Row],[总拉练]]*2+表1[[#This Row],[总训练]]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48576"/>
  <sheetViews>
    <sheetView tabSelected="1" topLeftCell="A35" zoomScale="70" zoomScaleNormal="70" workbookViewId="0">
      <selection activeCell="AH18" sqref="AH18"/>
    </sheetView>
  </sheetViews>
  <sheetFormatPr defaultRowHeight="14" x14ac:dyDescent="0.3"/>
  <cols>
    <col min="1" max="1" width="13.08203125" customWidth="1"/>
    <col min="2" max="10" width="8.9140625" style="1" customWidth="1"/>
    <col min="11" max="11" width="9.08203125" style="1" customWidth="1"/>
    <col min="19" max="21" width="8.9140625" customWidth="1"/>
    <col min="24" max="24" width="8.9140625" style="9"/>
    <col min="27" max="28" width="15.1640625" customWidth="1"/>
    <col min="31" max="31" width="8.9140625"/>
  </cols>
  <sheetData>
    <row r="1" spans="1:35" ht="16.25" customHeight="1" x14ac:dyDescent="0.3">
      <c r="A1" t="s">
        <v>114</v>
      </c>
      <c r="B1" s="1" t="s">
        <v>206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t="s">
        <v>137</v>
      </c>
      <c r="N1" t="s">
        <v>194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207</v>
      </c>
      <c r="V1" t="s">
        <v>208</v>
      </c>
      <c r="W1" t="s">
        <v>209</v>
      </c>
      <c r="X1" s="9" t="s">
        <v>210</v>
      </c>
      <c r="Y1" t="s">
        <v>198</v>
      </c>
      <c r="Z1" t="s">
        <v>199</v>
      </c>
      <c r="AA1" t="s">
        <v>213</v>
      </c>
      <c r="AB1" t="s">
        <v>214</v>
      </c>
      <c r="AC1" s="7" t="s">
        <v>211</v>
      </c>
      <c r="AD1" t="s">
        <v>153</v>
      </c>
      <c r="AE1" t="s">
        <v>154</v>
      </c>
      <c r="AF1" t="s">
        <v>155</v>
      </c>
      <c r="AG1" t="s">
        <v>196</v>
      </c>
      <c r="AH1" s="6" t="s">
        <v>205</v>
      </c>
      <c r="AI1" s="6" t="s">
        <v>197</v>
      </c>
    </row>
    <row r="2" spans="1:35" x14ac:dyDescent="0.3">
      <c r="A2" t="s">
        <v>4</v>
      </c>
      <c r="C2" s="1">
        <v>1</v>
      </c>
      <c r="D2" s="1">
        <v>0</v>
      </c>
      <c r="E2" s="1">
        <v>1</v>
      </c>
      <c r="F2" s="1">
        <v>0</v>
      </c>
      <c r="G2" s="1">
        <v>0</v>
      </c>
      <c r="H2" s="1">
        <v>1</v>
      </c>
      <c r="I2" s="1">
        <v>1</v>
      </c>
      <c r="J2" s="1">
        <v>0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0</v>
      </c>
      <c r="T2" s="1">
        <v>1</v>
      </c>
      <c r="U2" s="1"/>
      <c r="V2" s="1"/>
      <c r="W2" s="1">
        <v>1</v>
      </c>
      <c r="X2" s="1"/>
      <c r="Y2" s="1">
        <v>1</v>
      </c>
      <c r="Z2" s="1">
        <v>1</v>
      </c>
      <c r="AA2" s="1">
        <f>SUM(表1[[#This Row],[冬训14]:[冬训22]])</f>
        <v>5</v>
      </c>
      <c r="AB2" s="1" t="str">
        <f>IF(表1[[#This Row],[晚训后九次积分]]&lt;3,"少于3分"," ")</f>
        <v xml:space="preserve"> </v>
      </c>
      <c r="AC2" s="1">
        <f t="shared" ref="AC2:AC33" si="0">SUM(C2:Z2)</f>
        <v>16</v>
      </c>
      <c r="AD2" s="1">
        <v>2</v>
      </c>
      <c r="AE2" s="1">
        <v>2</v>
      </c>
      <c r="AF2" s="1">
        <v>1</v>
      </c>
      <c r="AG2" s="1">
        <v>2</v>
      </c>
      <c r="AH2" s="1">
        <f>SUM(表1[[#This Row],[大运河]:[大杨山]])</f>
        <v>7</v>
      </c>
      <c r="AI2" s="1">
        <f>表1[[#This Row],[总拉练]]*2+表1[[#This Row],[总训练]]</f>
        <v>30</v>
      </c>
    </row>
    <row r="3" spans="1:35" x14ac:dyDescent="0.3">
      <c r="A3" t="s">
        <v>86</v>
      </c>
      <c r="C3" s="1">
        <v>0</v>
      </c>
      <c r="D3" s="1">
        <v>0</v>
      </c>
      <c r="E3" s="1">
        <v>1</v>
      </c>
      <c r="F3" s="1">
        <v>1</v>
      </c>
      <c r="G3" s="1">
        <v>0</v>
      </c>
      <c r="H3" s="1">
        <v>1</v>
      </c>
      <c r="I3" s="1">
        <v>0</v>
      </c>
      <c r="J3" s="1">
        <v>1</v>
      </c>
      <c r="K3" s="1">
        <v>0</v>
      </c>
      <c r="L3" s="1">
        <v>0</v>
      </c>
      <c r="M3" s="1">
        <v>0.5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0</v>
      </c>
      <c r="U3" s="1">
        <v>1</v>
      </c>
      <c r="V3" s="1">
        <v>1</v>
      </c>
      <c r="W3" s="1">
        <v>1</v>
      </c>
      <c r="X3" s="1"/>
      <c r="Y3" s="1">
        <v>1</v>
      </c>
      <c r="Z3" s="1"/>
      <c r="AA3" s="1">
        <f>SUM(表1[[#This Row],[冬训14]:[冬训22]])</f>
        <v>7</v>
      </c>
      <c r="AB3" s="1" t="str">
        <f>IF(表1[[#This Row],[晚训后九次积分]]&lt;3,"少于3分"," ")</f>
        <v xml:space="preserve"> </v>
      </c>
      <c r="AC3" s="1">
        <f t="shared" si="0"/>
        <v>14.5</v>
      </c>
      <c r="AD3" s="1">
        <v>1</v>
      </c>
      <c r="AE3" s="1">
        <v>2</v>
      </c>
      <c r="AF3" s="1">
        <v>2</v>
      </c>
      <c r="AG3" s="1">
        <v>2</v>
      </c>
      <c r="AH3" s="1">
        <f>SUM(表1[[#This Row],[大运河]:[大杨山]])</f>
        <v>7</v>
      </c>
      <c r="AI3" s="1">
        <f>表1[[#This Row],[总拉练]]*2+表1[[#This Row],[总训练]]</f>
        <v>28.5</v>
      </c>
    </row>
    <row r="4" spans="1:35" x14ac:dyDescent="0.3">
      <c r="A4" t="s">
        <v>39</v>
      </c>
      <c r="C4" s="1">
        <v>1</v>
      </c>
      <c r="D4" s="1">
        <v>1</v>
      </c>
      <c r="E4" s="1">
        <v>1</v>
      </c>
      <c r="F4" s="1">
        <v>0</v>
      </c>
      <c r="G4" s="1">
        <v>0</v>
      </c>
      <c r="H4" s="1">
        <v>0</v>
      </c>
      <c r="I4" s="1">
        <v>1</v>
      </c>
      <c r="J4" s="1">
        <v>0</v>
      </c>
      <c r="K4" s="1">
        <v>1</v>
      </c>
      <c r="L4" s="1">
        <v>1</v>
      </c>
      <c r="M4" s="1">
        <v>0</v>
      </c>
      <c r="N4" s="1">
        <v>1</v>
      </c>
      <c r="O4" s="1">
        <v>1</v>
      </c>
      <c r="P4" s="1">
        <v>1</v>
      </c>
      <c r="Q4" s="1">
        <v>0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/>
      <c r="Z4" s="1">
        <v>1</v>
      </c>
      <c r="AA4" s="1">
        <f>SUM(表1[[#This Row],[冬训14]:[冬训22]])</f>
        <v>8</v>
      </c>
      <c r="AB4" s="1" t="str">
        <f>IF(表1[[#This Row],[晚训后九次积分]]&lt;3,"少于3分"," ")</f>
        <v xml:space="preserve"> </v>
      </c>
      <c r="AC4" s="1">
        <f t="shared" si="0"/>
        <v>17</v>
      </c>
      <c r="AD4" s="1">
        <v>2</v>
      </c>
      <c r="AE4" s="1">
        <v>1</v>
      </c>
      <c r="AF4" s="1">
        <v>1</v>
      </c>
      <c r="AG4" s="1">
        <v>1</v>
      </c>
      <c r="AH4" s="1">
        <f>SUM(表1[[#This Row],[大运河]:[大杨山]])</f>
        <v>5</v>
      </c>
      <c r="AI4" s="1">
        <f>表1[[#This Row],[总拉练]]*2+表1[[#This Row],[总训练]]</f>
        <v>27</v>
      </c>
    </row>
    <row r="5" spans="1:35" x14ac:dyDescent="0.3">
      <c r="A5" t="s">
        <v>79</v>
      </c>
      <c r="C5" s="1">
        <v>0</v>
      </c>
      <c r="D5" s="1">
        <v>1</v>
      </c>
      <c r="E5" s="1">
        <v>1</v>
      </c>
      <c r="F5" s="1">
        <v>1</v>
      </c>
      <c r="G5" s="1">
        <v>0</v>
      </c>
      <c r="H5" s="1">
        <v>1</v>
      </c>
      <c r="I5" s="1">
        <v>0</v>
      </c>
      <c r="J5" s="1">
        <v>1</v>
      </c>
      <c r="K5" s="1">
        <v>1</v>
      </c>
      <c r="L5" s="1">
        <v>0</v>
      </c>
      <c r="M5" s="1">
        <v>1</v>
      </c>
      <c r="N5" s="1">
        <v>0</v>
      </c>
      <c r="O5" s="1">
        <v>0</v>
      </c>
      <c r="P5" s="1">
        <v>1</v>
      </c>
      <c r="Q5" s="1">
        <v>1</v>
      </c>
      <c r="R5" s="1">
        <v>1</v>
      </c>
      <c r="S5" s="1">
        <v>0</v>
      </c>
      <c r="T5" s="1">
        <v>1</v>
      </c>
      <c r="U5" s="1">
        <v>1</v>
      </c>
      <c r="V5" s="1"/>
      <c r="W5" s="1">
        <v>1</v>
      </c>
      <c r="X5" s="1">
        <v>1</v>
      </c>
      <c r="Y5" s="1">
        <v>1</v>
      </c>
      <c r="Z5" s="1"/>
      <c r="AA5" s="1">
        <f>SUM(表1[[#This Row],[冬训14]:[冬训22]])</f>
        <v>7</v>
      </c>
      <c r="AB5" s="1" t="str">
        <f>IF(表1[[#This Row],[晚训后九次积分]]&lt;3,"少于3分"," ")</f>
        <v xml:space="preserve"> </v>
      </c>
      <c r="AC5" s="1">
        <f t="shared" si="0"/>
        <v>15</v>
      </c>
      <c r="AD5" s="1">
        <v>1</v>
      </c>
      <c r="AE5" s="1">
        <v>1</v>
      </c>
      <c r="AF5" s="1">
        <v>2</v>
      </c>
      <c r="AG5" s="1">
        <v>2</v>
      </c>
      <c r="AH5" s="1">
        <f>SUM(表1[[#This Row],[大运河]:[大杨山]])</f>
        <v>6</v>
      </c>
      <c r="AI5" s="1">
        <f>表1[[#This Row],[总拉练]]*2+表1[[#This Row],[总训练]]</f>
        <v>27</v>
      </c>
    </row>
    <row r="6" spans="1:35" x14ac:dyDescent="0.3">
      <c r="A6" t="s">
        <v>84</v>
      </c>
      <c r="C6" s="1">
        <v>0.5</v>
      </c>
      <c r="D6" s="1">
        <v>0</v>
      </c>
      <c r="E6" s="1">
        <v>0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">
        <v>1</v>
      </c>
      <c r="L6" s="1">
        <v>1</v>
      </c>
      <c r="M6" s="1">
        <v>0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0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f>SUM(表1[[#This Row],[冬训14]:[冬训22]])</f>
        <v>8</v>
      </c>
      <c r="AB6" s="1" t="str">
        <f>IF(表1[[#This Row],[晚训后九次积分]]&lt;3,"少于3分"," ")</f>
        <v xml:space="preserve"> </v>
      </c>
      <c r="AC6" s="1">
        <f t="shared" si="0"/>
        <v>15.5</v>
      </c>
      <c r="AD6" s="1">
        <v>1</v>
      </c>
      <c r="AE6" s="1">
        <v>2</v>
      </c>
      <c r="AF6" s="1">
        <v>1</v>
      </c>
      <c r="AG6" s="1">
        <v>1</v>
      </c>
      <c r="AH6" s="1">
        <f>SUM(表1[[#This Row],[大运河]:[大杨山]])</f>
        <v>5</v>
      </c>
      <c r="AI6" s="1">
        <f>表1[[#This Row],[总拉练]]*2+表1[[#This Row],[总训练]]</f>
        <v>25.5</v>
      </c>
    </row>
    <row r="7" spans="1:35" x14ac:dyDescent="0.3">
      <c r="A7" t="s">
        <v>35</v>
      </c>
      <c r="C7" s="1">
        <v>1</v>
      </c>
      <c r="D7" s="1">
        <v>0</v>
      </c>
      <c r="E7" s="1">
        <v>1</v>
      </c>
      <c r="F7" s="1">
        <v>0</v>
      </c>
      <c r="G7" s="1">
        <v>0</v>
      </c>
      <c r="H7" s="1">
        <v>1</v>
      </c>
      <c r="I7" s="1">
        <v>0</v>
      </c>
      <c r="J7" s="1">
        <v>0</v>
      </c>
      <c r="K7" s="1">
        <v>0.5</v>
      </c>
      <c r="L7" s="1">
        <v>1</v>
      </c>
      <c r="M7" s="1">
        <v>0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/>
      <c r="X7" s="1">
        <v>1</v>
      </c>
      <c r="Y7" s="1"/>
      <c r="Z7" s="1"/>
      <c r="AA7" s="1">
        <f>SUM(表1[[#This Row],[冬训14]:[冬训22]])</f>
        <v>8</v>
      </c>
      <c r="AB7" s="1" t="str">
        <f>IF(表1[[#This Row],[晚训后九次积分]]&lt;3,"少于3分"," ")</f>
        <v xml:space="preserve"> </v>
      </c>
      <c r="AC7" s="1">
        <f t="shared" si="0"/>
        <v>14.5</v>
      </c>
      <c r="AD7" s="1">
        <v>2</v>
      </c>
      <c r="AE7" s="1">
        <v>1</v>
      </c>
      <c r="AF7" s="1">
        <v>1</v>
      </c>
      <c r="AG7" s="1">
        <v>1</v>
      </c>
      <c r="AH7" s="1">
        <f>SUM(表1[[#This Row],[大运河]:[大杨山]])</f>
        <v>5</v>
      </c>
      <c r="AI7" s="1">
        <f>表1[[#This Row],[总拉练]]*2+表1[[#This Row],[总训练]]</f>
        <v>24.5</v>
      </c>
    </row>
    <row r="8" spans="1:35" x14ac:dyDescent="0.3">
      <c r="A8" t="s">
        <v>88</v>
      </c>
      <c r="C8" s="1">
        <v>0</v>
      </c>
      <c r="D8" s="1">
        <v>1</v>
      </c>
      <c r="E8" s="1">
        <v>0</v>
      </c>
      <c r="F8" s="1">
        <v>0</v>
      </c>
      <c r="G8" s="1">
        <v>0</v>
      </c>
      <c r="H8" s="1">
        <v>1</v>
      </c>
      <c r="I8" s="1">
        <v>1</v>
      </c>
      <c r="J8" s="1">
        <v>0</v>
      </c>
      <c r="K8" s="1">
        <v>1</v>
      </c>
      <c r="L8" s="1">
        <v>0</v>
      </c>
      <c r="M8" s="1">
        <v>0</v>
      </c>
      <c r="N8" s="1">
        <v>0</v>
      </c>
      <c r="O8" s="1">
        <v>0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/>
      <c r="Z8" s="1">
        <v>1</v>
      </c>
      <c r="AA8" s="1">
        <f>SUM(表1[[#This Row],[冬训14]:[冬训22]])</f>
        <v>9</v>
      </c>
      <c r="AB8" s="1" t="str">
        <f>IF(表1[[#This Row],[晚训后九次积分]]&lt;3,"少于3分"," ")</f>
        <v xml:space="preserve"> </v>
      </c>
      <c r="AC8" s="1">
        <f t="shared" si="0"/>
        <v>14</v>
      </c>
      <c r="AD8" s="1">
        <v>2</v>
      </c>
      <c r="AE8" s="1">
        <v>1</v>
      </c>
      <c r="AF8" s="1">
        <v>1</v>
      </c>
      <c r="AG8" s="1">
        <v>1</v>
      </c>
      <c r="AH8" s="1">
        <f>SUM(表1[[#This Row],[大运河]:[大杨山]])</f>
        <v>5</v>
      </c>
      <c r="AI8" s="1">
        <f>表1[[#This Row],[总拉练]]*2+表1[[#This Row],[总训练]]</f>
        <v>24</v>
      </c>
    </row>
    <row r="9" spans="1:35" x14ac:dyDescent="0.3">
      <c r="A9" t="s">
        <v>42</v>
      </c>
      <c r="C9" s="1">
        <v>1</v>
      </c>
      <c r="D9" s="1">
        <v>1</v>
      </c>
      <c r="E9" s="1">
        <v>1</v>
      </c>
      <c r="F9" s="1">
        <v>0</v>
      </c>
      <c r="G9" s="1">
        <v>1</v>
      </c>
      <c r="H9" s="1">
        <v>1</v>
      </c>
      <c r="I9" s="1">
        <v>1</v>
      </c>
      <c r="J9" s="1">
        <v>0</v>
      </c>
      <c r="K9" s="1">
        <v>0</v>
      </c>
      <c r="L9" s="1">
        <v>1</v>
      </c>
      <c r="M9" s="1">
        <v>1</v>
      </c>
      <c r="N9" s="1">
        <v>0</v>
      </c>
      <c r="O9" s="1">
        <v>1</v>
      </c>
      <c r="P9" s="1">
        <v>0</v>
      </c>
      <c r="Q9" s="1">
        <v>1</v>
      </c>
      <c r="R9" s="1">
        <v>0</v>
      </c>
      <c r="S9" s="1">
        <v>1</v>
      </c>
      <c r="T9" s="1">
        <v>1</v>
      </c>
      <c r="U9" s="1">
        <v>1</v>
      </c>
      <c r="V9" s="1">
        <v>1</v>
      </c>
      <c r="W9" s="1"/>
      <c r="X9" s="1"/>
      <c r="Y9" s="1">
        <v>1</v>
      </c>
      <c r="Z9" s="1"/>
      <c r="AA9" s="1">
        <f>SUM(表1[[#This Row],[冬训14]:[冬训22]])</f>
        <v>5</v>
      </c>
      <c r="AB9" s="1" t="str">
        <f>IF(表1[[#This Row],[晚训后九次积分]]&lt;3,"少于3分"," ")</f>
        <v xml:space="preserve"> </v>
      </c>
      <c r="AC9" s="1">
        <f t="shared" si="0"/>
        <v>15</v>
      </c>
      <c r="AD9" s="1"/>
      <c r="AE9" s="1">
        <v>2</v>
      </c>
      <c r="AF9" s="1">
        <v>1</v>
      </c>
      <c r="AG9" s="1">
        <v>1</v>
      </c>
      <c r="AH9" s="1">
        <f>SUM(表1[[#This Row],[大运河]:[大杨山]])</f>
        <v>4</v>
      </c>
      <c r="AI9" s="1">
        <f>表1[[#This Row],[总拉练]]*2+表1[[#This Row],[总训练]]</f>
        <v>23</v>
      </c>
    </row>
    <row r="10" spans="1:35" x14ac:dyDescent="0.3">
      <c r="A10" t="s">
        <v>75</v>
      </c>
      <c r="C10" s="1">
        <v>1</v>
      </c>
      <c r="D10" s="1">
        <v>0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f>SUBTOTAL(109,O9)</f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/>
      <c r="Z10" s="1"/>
      <c r="AA10" s="1">
        <f>SUM(表1[[#This Row],[冬训14]:[冬训22]])</f>
        <v>9</v>
      </c>
      <c r="AB10" s="1" t="str">
        <f>IF(表1[[#This Row],[晚训后九次积分]]&lt;3,"少于3分"," ")</f>
        <v xml:space="preserve"> </v>
      </c>
      <c r="AC10" s="1">
        <f t="shared" si="0"/>
        <v>21</v>
      </c>
      <c r="AD10" s="1"/>
      <c r="AE10" s="1"/>
      <c r="AF10" s="1"/>
      <c r="AG10" s="1">
        <v>1</v>
      </c>
      <c r="AH10" s="1">
        <f>SUM(表1[[#This Row],[大运河]:[大杨山]])</f>
        <v>1</v>
      </c>
      <c r="AI10" s="1">
        <f>表1[[#This Row],[总拉练]]*2+表1[[#This Row],[总训练]]</f>
        <v>23</v>
      </c>
    </row>
    <row r="11" spans="1:35" x14ac:dyDescent="0.3">
      <c r="A11" t="s">
        <v>17</v>
      </c>
      <c r="C11" s="1">
        <v>1</v>
      </c>
      <c r="D11" s="1">
        <v>1</v>
      </c>
      <c r="E11" s="1">
        <v>0</v>
      </c>
      <c r="F11" s="1">
        <v>0</v>
      </c>
      <c r="G11" s="1">
        <v>0</v>
      </c>
      <c r="H11" s="1">
        <v>1</v>
      </c>
      <c r="I11" s="1">
        <v>1</v>
      </c>
      <c r="J11" s="1">
        <v>0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0</v>
      </c>
      <c r="S11" s="1">
        <v>0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/>
      <c r="Z11" s="1"/>
      <c r="AA11" s="1">
        <f>SUM(表1[[#This Row],[冬训14]:[冬训22]])</f>
        <v>7</v>
      </c>
      <c r="AB11" s="1" t="str">
        <f>IF(表1[[#This Row],[晚训后九次积分]]&lt;3,"少于3分"," ")</f>
        <v xml:space="preserve"> </v>
      </c>
      <c r="AC11" s="1">
        <f t="shared" si="0"/>
        <v>16</v>
      </c>
      <c r="AD11" s="1"/>
      <c r="AE11" s="1">
        <v>1</v>
      </c>
      <c r="AF11" s="1"/>
      <c r="AG11" s="1">
        <v>2</v>
      </c>
      <c r="AH11" s="1">
        <f>SUM(表1[[#This Row],[大运河]:[大杨山]])</f>
        <v>3</v>
      </c>
      <c r="AI11" s="1">
        <f>表1[[#This Row],[总拉练]]*2+表1[[#This Row],[总训练]]</f>
        <v>22</v>
      </c>
    </row>
    <row r="12" spans="1:35" x14ac:dyDescent="0.3">
      <c r="A12" t="s">
        <v>80</v>
      </c>
      <c r="C12" s="1">
        <v>0</v>
      </c>
      <c r="D12" s="1">
        <v>1</v>
      </c>
      <c r="E12" s="1">
        <v>1</v>
      </c>
      <c r="F12" s="1">
        <v>1</v>
      </c>
      <c r="G12" s="1">
        <v>0</v>
      </c>
      <c r="H12" s="1">
        <v>1</v>
      </c>
      <c r="I12" s="1">
        <v>0</v>
      </c>
      <c r="J12" s="1">
        <v>1</v>
      </c>
      <c r="K12" s="1">
        <v>1</v>
      </c>
      <c r="L12" s="1">
        <v>0</v>
      </c>
      <c r="M12" s="1">
        <v>1</v>
      </c>
      <c r="N12" s="1">
        <v>0</v>
      </c>
      <c r="O12" s="1">
        <v>0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/>
      <c r="V12" s="1">
        <v>1</v>
      </c>
      <c r="W12" s="1">
        <v>1</v>
      </c>
      <c r="X12" s="1"/>
      <c r="Y12" s="1">
        <v>1</v>
      </c>
      <c r="Z12" s="1"/>
      <c r="AA12" s="1">
        <f>SUM(表1[[#This Row],[冬训14]:[冬训22]])</f>
        <v>7</v>
      </c>
      <c r="AB12" s="1" t="str">
        <f>IF(表1[[#This Row],[晚训后九次积分]]&lt;3,"少于3分"," ")</f>
        <v xml:space="preserve"> </v>
      </c>
      <c r="AC12" s="1">
        <f t="shared" si="0"/>
        <v>15</v>
      </c>
      <c r="AD12" s="1">
        <v>1</v>
      </c>
      <c r="AE12" s="1">
        <v>1</v>
      </c>
      <c r="AF12" s="1">
        <v>1</v>
      </c>
      <c r="AG12" s="1">
        <v>1</v>
      </c>
      <c r="AH12" s="1">
        <f>SUM(表1[[#This Row],[大运河]:[大杨山]])</f>
        <v>4</v>
      </c>
      <c r="AI12" s="1">
        <f>表1[[#This Row],[总拉练]]*2+表1[[#This Row],[总训练]]</f>
        <v>23</v>
      </c>
    </row>
    <row r="13" spans="1:35" x14ac:dyDescent="0.3">
      <c r="A13" t="s">
        <v>50</v>
      </c>
      <c r="C13" s="1">
        <v>1</v>
      </c>
      <c r="D13" s="1">
        <v>0</v>
      </c>
      <c r="E13" s="1">
        <v>0</v>
      </c>
      <c r="F13" s="1">
        <v>1</v>
      </c>
      <c r="G13" s="1">
        <v>1</v>
      </c>
      <c r="H13" s="1">
        <v>0</v>
      </c>
      <c r="I13" s="1">
        <v>1</v>
      </c>
      <c r="J13" s="1">
        <v>0</v>
      </c>
      <c r="K13" s="1">
        <v>1</v>
      </c>
      <c r="L13" s="1">
        <v>1</v>
      </c>
      <c r="M13" s="1">
        <v>0</v>
      </c>
      <c r="N13" s="1">
        <v>1</v>
      </c>
      <c r="O13" s="1">
        <v>0</v>
      </c>
      <c r="P13" s="1">
        <v>1</v>
      </c>
      <c r="Q13" s="1">
        <v>0</v>
      </c>
      <c r="R13" s="1">
        <v>1</v>
      </c>
      <c r="S13" s="1">
        <v>0</v>
      </c>
      <c r="T13" s="1">
        <v>1</v>
      </c>
      <c r="U13" s="1"/>
      <c r="V13" s="1"/>
      <c r="W13" s="1">
        <v>1</v>
      </c>
      <c r="X13" s="1">
        <v>1</v>
      </c>
      <c r="Y13" s="1"/>
      <c r="Z13" s="1">
        <v>1</v>
      </c>
      <c r="AA13" s="1">
        <f>SUM(表1[[#This Row],[冬训14]:[冬训22]])</f>
        <v>5</v>
      </c>
      <c r="AB13" s="1" t="str">
        <f>IF(表1[[#This Row],[晚训后九次积分]]&lt;3,"少于3分"," ")</f>
        <v xml:space="preserve"> </v>
      </c>
      <c r="AC13" s="1">
        <f t="shared" si="0"/>
        <v>13</v>
      </c>
      <c r="AD13" s="1">
        <v>2</v>
      </c>
      <c r="AE13" s="1">
        <v>1</v>
      </c>
      <c r="AF13" s="1">
        <v>1</v>
      </c>
      <c r="AG13" s="1">
        <v>1</v>
      </c>
      <c r="AH13" s="1">
        <f>SUM(表1[[#This Row],[大运河]:[大杨山]])</f>
        <v>5</v>
      </c>
      <c r="AI13" s="1">
        <f>表1[[#This Row],[总拉练]]*2+表1[[#This Row],[总训练]]</f>
        <v>23</v>
      </c>
    </row>
    <row r="14" spans="1:35" x14ac:dyDescent="0.3">
      <c r="A14" t="s">
        <v>7</v>
      </c>
      <c r="C14" s="1">
        <v>1</v>
      </c>
      <c r="D14" s="1">
        <v>1</v>
      </c>
      <c r="E14" s="1">
        <v>1</v>
      </c>
      <c r="F14" s="1">
        <v>0</v>
      </c>
      <c r="G14" s="1">
        <v>0</v>
      </c>
      <c r="H14" s="1">
        <v>1</v>
      </c>
      <c r="I14" s="1">
        <v>0</v>
      </c>
      <c r="J14" s="1">
        <v>1</v>
      </c>
      <c r="K14" s="1">
        <v>1</v>
      </c>
      <c r="L14" s="1">
        <v>0</v>
      </c>
      <c r="M14" s="1">
        <v>1</v>
      </c>
      <c r="N14" s="1">
        <v>0</v>
      </c>
      <c r="O14" s="1">
        <v>0</v>
      </c>
      <c r="P14" s="1">
        <v>1</v>
      </c>
      <c r="Q14" s="1">
        <v>1</v>
      </c>
      <c r="R14" s="1">
        <v>1</v>
      </c>
      <c r="S14" s="1">
        <v>0</v>
      </c>
      <c r="T14" s="1">
        <v>1</v>
      </c>
      <c r="U14" s="1">
        <v>1</v>
      </c>
      <c r="V14" s="1">
        <v>1</v>
      </c>
      <c r="W14" s="1"/>
      <c r="X14" s="1">
        <v>1</v>
      </c>
      <c r="Y14" s="1"/>
      <c r="Z14" s="1">
        <v>0.5</v>
      </c>
      <c r="AA14" s="1">
        <f>SUM(表1[[#This Row],[冬训14]:[冬训22]])</f>
        <v>7</v>
      </c>
      <c r="AB14" s="1" t="str">
        <f>IF(表1[[#This Row],[晚训后九次积分]]&lt;3,"少于3分"," ")</f>
        <v xml:space="preserve"> </v>
      </c>
      <c r="AC14" s="1">
        <f t="shared" si="0"/>
        <v>14.5</v>
      </c>
      <c r="AD14" s="1"/>
      <c r="AE14" s="1"/>
      <c r="AF14" s="1">
        <v>2</v>
      </c>
      <c r="AG14" s="1">
        <v>1</v>
      </c>
      <c r="AH14" s="1">
        <f>SUM(表1[[#This Row],[大运河]:[大杨山]])</f>
        <v>3</v>
      </c>
      <c r="AI14" s="1">
        <f>表1[[#This Row],[总拉练]]*2+表1[[#This Row],[总训练]]</f>
        <v>20.5</v>
      </c>
    </row>
    <row r="15" spans="1:35" x14ac:dyDescent="0.3">
      <c r="A15" t="s">
        <v>62</v>
      </c>
      <c r="C15" s="1">
        <v>1</v>
      </c>
      <c r="D15" s="1">
        <v>0</v>
      </c>
      <c r="E15" s="1">
        <v>1</v>
      </c>
      <c r="F15" s="1">
        <v>1</v>
      </c>
      <c r="G15" s="1">
        <v>0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0.5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0</v>
      </c>
      <c r="U15" s="1">
        <v>1</v>
      </c>
      <c r="V15" s="1">
        <v>1</v>
      </c>
      <c r="W15" s="1">
        <v>1</v>
      </c>
      <c r="X15" s="1">
        <v>1</v>
      </c>
      <c r="Y15" s="1"/>
      <c r="Z15" s="1"/>
      <c r="AA15" s="1">
        <f>SUM(表1[[#This Row],[冬训14]:[冬训22]])</f>
        <v>8</v>
      </c>
      <c r="AB15" s="1" t="str">
        <f>IF(表1[[#This Row],[晚训后九次积分]]&lt;3,"少于3分"," ")</f>
        <v xml:space="preserve"> </v>
      </c>
      <c r="AC15" s="1">
        <f t="shared" si="0"/>
        <v>18.5</v>
      </c>
      <c r="AD15" s="1"/>
      <c r="AE15" s="1"/>
      <c r="AF15" s="1"/>
      <c r="AG15" s="1">
        <v>1</v>
      </c>
      <c r="AH15" s="1">
        <f>SUM(表1[[#This Row],[大运河]:[大杨山]])</f>
        <v>1</v>
      </c>
      <c r="AI15" s="1">
        <f>表1[[#This Row],[总拉练]]*2+表1[[#This Row],[总训练]]</f>
        <v>20.5</v>
      </c>
    </row>
    <row r="16" spans="1:35" x14ac:dyDescent="0.3">
      <c r="A16" t="s">
        <v>81</v>
      </c>
      <c r="C16" s="1">
        <v>0</v>
      </c>
      <c r="D16" s="1">
        <v>1</v>
      </c>
      <c r="E16" s="1">
        <v>1</v>
      </c>
      <c r="F16" s="1">
        <v>0</v>
      </c>
      <c r="G16" s="1">
        <v>1</v>
      </c>
      <c r="H16" s="1">
        <v>1</v>
      </c>
      <c r="I16" s="1">
        <v>0</v>
      </c>
      <c r="J16" s="1">
        <v>1</v>
      </c>
      <c r="K16" s="1">
        <v>1</v>
      </c>
      <c r="L16" s="1">
        <v>0</v>
      </c>
      <c r="M16" s="1">
        <v>1</v>
      </c>
      <c r="N16" s="1">
        <v>1</v>
      </c>
      <c r="O16" s="1">
        <v>0</v>
      </c>
      <c r="P16" s="1">
        <v>0</v>
      </c>
      <c r="Q16" s="1">
        <v>1</v>
      </c>
      <c r="R16" s="1">
        <v>0</v>
      </c>
      <c r="S16" s="1">
        <v>1</v>
      </c>
      <c r="T16" s="1">
        <v>1</v>
      </c>
      <c r="U16" s="1"/>
      <c r="V16" s="1">
        <v>1</v>
      </c>
      <c r="W16" s="1">
        <v>1</v>
      </c>
      <c r="X16" s="1">
        <v>1</v>
      </c>
      <c r="Y16" s="1"/>
      <c r="Z16" s="1"/>
      <c r="AA16" s="1">
        <f>SUM(表1[[#This Row],[冬训14]:[冬训22]])</f>
        <v>6</v>
      </c>
      <c r="AB16" s="1" t="str">
        <f>IF(表1[[#This Row],[晚训后九次积分]]&lt;3,"少于3分"," ")</f>
        <v xml:space="preserve"> </v>
      </c>
      <c r="AC16" s="1">
        <f t="shared" si="0"/>
        <v>14</v>
      </c>
      <c r="AD16" s="1">
        <v>1</v>
      </c>
      <c r="AE16" s="1"/>
      <c r="AF16" s="1">
        <v>1</v>
      </c>
      <c r="AG16" s="1">
        <v>1</v>
      </c>
      <c r="AH16" s="1">
        <f>SUM(表1[[#This Row],[大运河]:[大杨山]])</f>
        <v>3</v>
      </c>
      <c r="AI16" s="1">
        <f>表1[[#This Row],[总拉练]]*2+表1[[#This Row],[总训练]]</f>
        <v>20</v>
      </c>
    </row>
    <row r="17" spans="1:35" x14ac:dyDescent="0.3">
      <c r="A17" t="s">
        <v>78</v>
      </c>
      <c r="C17" s="1">
        <v>0</v>
      </c>
      <c r="D17" s="1">
        <v>0</v>
      </c>
      <c r="E17" s="1">
        <v>0</v>
      </c>
      <c r="F17" s="1">
        <v>1</v>
      </c>
      <c r="G17" s="1">
        <v>0</v>
      </c>
      <c r="H17" s="1">
        <v>1</v>
      </c>
      <c r="I17" s="1">
        <v>0</v>
      </c>
      <c r="J17" s="1">
        <v>1</v>
      </c>
      <c r="K17" s="1">
        <v>0</v>
      </c>
      <c r="L17" s="1">
        <v>1</v>
      </c>
      <c r="M17" s="1">
        <v>1</v>
      </c>
      <c r="N17" s="1">
        <v>1</v>
      </c>
      <c r="O17" s="1">
        <v>0</v>
      </c>
      <c r="P17" s="1">
        <v>0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/>
      <c r="W17" s="1"/>
      <c r="X17" s="1">
        <v>1</v>
      </c>
      <c r="Y17" s="1"/>
      <c r="Z17" s="1">
        <v>1</v>
      </c>
      <c r="AA17" s="1">
        <f>SUM(表1[[#This Row],[冬训14]:[冬训22]])</f>
        <v>6</v>
      </c>
      <c r="AB17" s="1" t="str">
        <f>IF(表1[[#This Row],[晚训后九次积分]]&lt;3,"少于3分"," ")</f>
        <v xml:space="preserve"> </v>
      </c>
      <c r="AC17" s="1">
        <f t="shared" si="0"/>
        <v>13</v>
      </c>
      <c r="AD17" s="1">
        <v>2</v>
      </c>
      <c r="AE17" s="1"/>
      <c r="AF17" s="1">
        <v>1</v>
      </c>
      <c r="AG17" s="1">
        <v>1</v>
      </c>
      <c r="AH17" s="1">
        <f>SUM(表1[[#This Row],[大运河]:[大杨山]])</f>
        <v>4</v>
      </c>
      <c r="AI17" s="1">
        <f>表1[[#This Row],[总拉练]]*2+表1[[#This Row],[总训练]]</f>
        <v>21</v>
      </c>
    </row>
    <row r="18" spans="1:35" x14ac:dyDescent="0.3">
      <c r="A18" t="s">
        <v>128</v>
      </c>
      <c r="C18" s="1">
        <v>0</v>
      </c>
      <c r="D18" s="1">
        <v>0</v>
      </c>
      <c r="E18" s="1">
        <v>0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/>
      <c r="Z18" s="1">
        <v>1</v>
      </c>
      <c r="AA18" s="1">
        <f>SUM(表1[[#This Row],[冬训14]:[冬训22]])</f>
        <v>9</v>
      </c>
      <c r="AB18" s="1" t="str">
        <f>IF(表1[[#This Row],[晚训后九次积分]]&lt;3,"少于3分"," ")</f>
        <v xml:space="preserve"> </v>
      </c>
      <c r="AC18" s="1">
        <f t="shared" si="0"/>
        <v>12</v>
      </c>
      <c r="AD18" s="1"/>
      <c r="AE18" s="1">
        <v>2</v>
      </c>
      <c r="AF18" s="1">
        <v>1</v>
      </c>
      <c r="AG18" s="1">
        <v>1</v>
      </c>
      <c r="AH18" s="1">
        <f>SUM(表1[[#This Row],[大运河]:[大杨山]])</f>
        <v>4</v>
      </c>
      <c r="AI18" s="1">
        <f>表1[[#This Row],[总拉练]]*2+表1[[#This Row],[总训练]]</f>
        <v>20</v>
      </c>
    </row>
    <row r="19" spans="1:35" x14ac:dyDescent="0.3">
      <c r="A19" t="s">
        <v>45</v>
      </c>
      <c r="C19" s="1">
        <v>1</v>
      </c>
      <c r="D19" s="1">
        <v>1</v>
      </c>
      <c r="E19" s="1">
        <v>1</v>
      </c>
      <c r="F19" s="1">
        <v>0</v>
      </c>
      <c r="G19" s="1">
        <v>0</v>
      </c>
      <c r="H19" s="1">
        <v>1</v>
      </c>
      <c r="I19" s="1">
        <v>0.5</v>
      </c>
      <c r="J19" s="1">
        <v>0</v>
      </c>
      <c r="K19" s="1">
        <v>1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</v>
      </c>
      <c r="R19" s="1">
        <v>1</v>
      </c>
      <c r="S19" s="1">
        <v>1</v>
      </c>
      <c r="T19" s="1">
        <v>1</v>
      </c>
      <c r="U19" s="1"/>
      <c r="V19" s="1"/>
      <c r="W19" s="1">
        <v>1</v>
      </c>
      <c r="X19" s="1">
        <v>1</v>
      </c>
      <c r="Y19" s="1"/>
      <c r="Z19" s="1"/>
      <c r="AA19" s="1">
        <f>SUM(表1[[#This Row],[冬训14]:[冬训22]])</f>
        <v>6</v>
      </c>
      <c r="AB19" s="1" t="str">
        <f>IF(表1[[#This Row],[晚训后九次积分]]&lt;3,"少于3分"," ")</f>
        <v xml:space="preserve"> </v>
      </c>
      <c r="AC19" s="1">
        <f t="shared" si="0"/>
        <v>11.5</v>
      </c>
      <c r="AD19" s="1">
        <v>1</v>
      </c>
      <c r="AE19" s="1">
        <v>1</v>
      </c>
      <c r="AF19" s="1">
        <v>1</v>
      </c>
      <c r="AG19" s="1">
        <v>1</v>
      </c>
      <c r="AH19" s="1">
        <f>SUM(表1[[#This Row],[大运河]:[大杨山]])</f>
        <v>4</v>
      </c>
      <c r="AI19" s="1">
        <f>表1[[#This Row],[总拉练]]*2+表1[[#This Row],[总训练]]</f>
        <v>19.5</v>
      </c>
    </row>
    <row r="20" spans="1:35" x14ac:dyDescent="0.3">
      <c r="A20" t="s">
        <v>31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0</v>
      </c>
      <c r="I20" s="1">
        <v>1</v>
      </c>
      <c r="J20" s="1">
        <v>1</v>
      </c>
      <c r="K20" s="1">
        <v>1</v>
      </c>
      <c r="L20" s="1">
        <v>1</v>
      </c>
      <c r="M20" s="1">
        <f t="shared" ref="M20:S20" si="1">SUBTOTAL(109,M19)</f>
        <v>0</v>
      </c>
      <c r="N20" s="1">
        <f t="shared" si="1"/>
        <v>0</v>
      </c>
      <c r="O20" s="1">
        <f t="shared" si="1"/>
        <v>0</v>
      </c>
      <c r="P20" s="1">
        <f t="shared" si="1"/>
        <v>0</v>
      </c>
      <c r="Q20" s="1">
        <f t="shared" si="1"/>
        <v>1</v>
      </c>
      <c r="R20" s="1">
        <f t="shared" si="1"/>
        <v>1</v>
      </c>
      <c r="S20" s="1">
        <f t="shared" si="1"/>
        <v>1</v>
      </c>
      <c r="T20" s="1">
        <v>0</v>
      </c>
      <c r="U20" s="1">
        <v>1</v>
      </c>
      <c r="V20" s="1"/>
      <c r="W20" s="1"/>
      <c r="X20" s="1">
        <v>1</v>
      </c>
      <c r="Y20" s="1"/>
      <c r="Z20" s="1"/>
      <c r="AA20" s="1">
        <f>SUM(表1[[#This Row],[冬训14]:[冬训22]])</f>
        <v>5</v>
      </c>
      <c r="AB20" s="1" t="str">
        <f>IF(表1[[#This Row],[晚训后九次积分]]&lt;3,"少于3分"," ")</f>
        <v xml:space="preserve"> </v>
      </c>
      <c r="AC20" s="1">
        <f t="shared" si="0"/>
        <v>14</v>
      </c>
      <c r="AD20" s="1"/>
      <c r="AE20" s="1">
        <v>1</v>
      </c>
      <c r="AF20" s="1"/>
      <c r="AG20" s="1">
        <v>1</v>
      </c>
      <c r="AH20" s="1">
        <f>SUM(表1[[#This Row],[大运河]:[大杨山]])</f>
        <v>2</v>
      </c>
      <c r="AI20" s="1">
        <f>表1[[#This Row],[总拉练]]*2+表1[[#This Row],[总训练]]</f>
        <v>18</v>
      </c>
    </row>
    <row r="21" spans="1:35" x14ac:dyDescent="0.3">
      <c r="A21" t="s">
        <v>46</v>
      </c>
      <c r="C21" s="1">
        <v>1</v>
      </c>
      <c r="D21" s="1">
        <v>1</v>
      </c>
      <c r="E21" s="1">
        <v>1</v>
      </c>
      <c r="F21" s="1">
        <v>1</v>
      </c>
      <c r="G21" s="1">
        <v>0</v>
      </c>
      <c r="H21" s="1">
        <v>1</v>
      </c>
      <c r="I21" s="1">
        <v>0</v>
      </c>
      <c r="J21" s="1">
        <v>1</v>
      </c>
      <c r="K21" s="1">
        <v>1</v>
      </c>
      <c r="L21" s="1">
        <v>1</v>
      </c>
      <c r="M21" s="1">
        <v>0</v>
      </c>
      <c r="N21" s="1">
        <v>0</v>
      </c>
      <c r="O21" s="1">
        <v>0</v>
      </c>
      <c r="P21" s="1">
        <v>0</v>
      </c>
      <c r="Q21" s="1">
        <v>1</v>
      </c>
      <c r="R21" s="1">
        <v>1</v>
      </c>
      <c r="S21" s="1">
        <v>1</v>
      </c>
      <c r="T21" s="1">
        <v>1</v>
      </c>
      <c r="U21" s="1"/>
      <c r="V21" s="1">
        <v>1</v>
      </c>
      <c r="W21" s="1"/>
      <c r="X21" s="1"/>
      <c r="Y21" s="1"/>
      <c r="Z21" s="1"/>
      <c r="AA21" s="1">
        <f>SUM(表1[[#This Row],[冬训14]:[冬训22]])</f>
        <v>5</v>
      </c>
      <c r="AB21" s="1" t="str">
        <f>IF(表1[[#This Row],[晚训后九次积分]]&lt;3,"少于3分"," ")</f>
        <v xml:space="preserve"> </v>
      </c>
      <c r="AC21" s="1">
        <f t="shared" si="0"/>
        <v>13</v>
      </c>
      <c r="AD21" s="1">
        <v>2</v>
      </c>
      <c r="AE21" s="1"/>
      <c r="AF21" s="1"/>
      <c r="AG21" s="1">
        <v>1</v>
      </c>
      <c r="AH21" s="1">
        <f>SUM(表1[[#This Row],[大运河]:[大杨山]])</f>
        <v>3</v>
      </c>
      <c r="AI21" s="1">
        <f>表1[[#This Row],[总拉练]]*2+表1[[#This Row],[总训练]]</f>
        <v>19</v>
      </c>
    </row>
    <row r="22" spans="1:35" x14ac:dyDescent="0.3">
      <c r="A22" t="s">
        <v>93</v>
      </c>
      <c r="C22" s="1">
        <v>0</v>
      </c>
      <c r="D22" s="1">
        <v>0</v>
      </c>
      <c r="E22" s="1">
        <v>0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0</v>
      </c>
      <c r="L22" s="1">
        <v>0</v>
      </c>
      <c r="M22" s="1">
        <v>0</v>
      </c>
      <c r="N22" s="1">
        <v>1</v>
      </c>
      <c r="O22" s="1">
        <v>0</v>
      </c>
      <c r="P22" s="1">
        <v>0</v>
      </c>
      <c r="Q22" s="1">
        <v>1</v>
      </c>
      <c r="R22" s="1">
        <v>1</v>
      </c>
      <c r="S22" s="1">
        <v>0</v>
      </c>
      <c r="T22" s="1">
        <v>0</v>
      </c>
      <c r="U22" s="1"/>
      <c r="V22" s="1"/>
      <c r="W22" s="1">
        <v>1</v>
      </c>
      <c r="X22" s="1">
        <v>1</v>
      </c>
      <c r="Y22" s="1"/>
      <c r="Z22" s="1">
        <v>1</v>
      </c>
      <c r="AA22" s="1">
        <f>SUM(表1[[#This Row],[冬训14]:[冬训22]])</f>
        <v>4</v>
      </c>
      <c r="AB22" s="1" t="str">
        <f>IF(表1[[#This Row],[晚训后九次积分]]&lt;3,"少于3分"," ")</f>
        <v xml:space="preserve"> </v>
      </c>
      <c r="AC22" s="1">
        <f t="shared" si="0"/>
        <v>11</v>
      </c>
      <c r="AD22" s="1">
        <v>2</v>
      </c>
      <c r="AE22" s="1"/>
      <c r="AF22" s="1">
        <v>1</v>
      </c>
      <c r="AG22" s="1">
        <v>1</v>
      </c>
      <c r="AH22" s="1">
        <f>SUM(表1[[#This Row],[大运河]:[大杨山]])</f>
        <v>4</v>
      </c>
      <c r="AI22" s="1">
        <f>表1[[#This Row],[总拉练]]*2+表1[[#This Row],[总训练]]</f>
        <v>19</v>
      </c>
    </row>
    <row r="23" spans="1:35" ht="14.4" customHeight="1" x14ac:dyDescent="0.3">
      <c r="A23" t="s">
        <v>200</v>
      </c>
      <c r="C23" s="1">
        <v>1</v>
      </c>
      <c r="D23" s="1">
        <v>1</v>
      </c>
      <c r="E23" s="1">
        <v>1</v>
      </c>
      <c r="F23" s="1">
        <v>1</v>
      </c>
      <c r="G23" s="1">
        <v>0</v>
      </c>
      <c r="H23" s="1">
        <v>0</v>
      </c>
      <c r="I23" s="1">
        <v>1</v>
      </c>
      <c r="J23" s="1">
        <v>1</v>
      </c>
      <c r="K23" s="1">
        <v>0</v>
      </c>
      <c r="L23" s="1">
        <v>1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1</v>
      </c>
      <c r="S23" s="1">
        <v>1</v>
      </c>
      <c r="T23" s="1">
        <v>1</v>
      </c>
      <c r="U23" s="1">
        <v>1</v>
      </c>
      <c r="V23" s="1"/>
      <c r="W23" s="1">
        <v>1</v>
      </c>
      <c r="X23" s="1">
        <v>1</v>
      </c>
      <c r="Y23" s="1">
        <v>1</v>
      </c>
      <c r="Z23" s="1">
        <v>1</v>
      </c>
      <c r="AA23" s="1">
        <f>SUM(表1[[#This Row],[冬训14]:[冬训22]])</f>
        <v>6</v>
      </c>
      <c r="AB23" s="1" t="str">
        <f>IF(表1[[#This Row],[晚训后九次积分]]&lt;3,"少于3分"," ")</f>
        <v xml:space="preserve"> </v>
      </c>
      <c r="AC23" s="1">
        <f t="shared" si="0"/>
        <v>15</v>
      </c>
      <c r="AD23" s="1"/>
      <c r="AE23" s="1"/>
      <c r="AF23" s="1">
        <v>2</v>
      </c>
      <c r="AG23" s="1">
        <v>1</v>
      </c>
      <c r="AH23" s="1">
        <f>SUM(表1[[#This Row],[大运河]:[大杨山]])</f>
        <v>3</v>
      </c>
      <c r="AI23" s="1">
        <f>表1[[#This Row],[总拉练]]*2+表1[[#This Row],[总训练]]</f>
        <v>21</v>
      </c>
    </row>
    <row r="24" spans="1:35" x14ac:dyDescent="0.3">
      <c r="A24" s="1" t="s">
        <v>145</v>
      </c>
      <c r="C24" s="1">
        <v>0</v>
      </c>
      <c r="D24" s="1">
        <v>1</v>
      </c>
      <c r="E24" s="1">
        <v>1</v>
      </c>
      <c r="F24" s="1">
        <v>0</v>
      </c>
      <c r="G24" s="1">
        <v>1</v>
      </c>
      <c r="H24" s="1">
        <v>0</v>
      </c>
      <c r="I24" s="1">
        <v>0</v>
      </c>
      <c r="J24" s="1">
        <v>1</v>
      </c>
      <c r="K24" s="1">
        <v>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1</v>
      </c>
      <c r="R24" s="1">
        <v>1</v>
      </c>
      <c r="S24" s="1">
        <v>1</v>
      </c>
      <c r="T24" s="1">
        <v>1</v>
      </c>
      <c r="U24" s="1"/>
      <c r="V24" s="1">
        <v>0.5</v>
      </c>
      <c r="W24" s="1">
        <v>1</v>
      </c>
      <c r="X24" s="1">
        <v>1</v>
      </c>
      <c r="Y24" s="1"/>
      <c r="Z24" s="1"/>
      <c r="AA24" s="1">
        <f>SUM(表1[[#This Row],[冬训14]:[冬训22]])</f>
        <v>6.5</v>
      </c>
      <c r="AB24" s="1" t="str">
        <f>IF(表1[[#This Row],[晚训后九次积分]]&lt;3,"少于3分"," ")</f>
        <v xml:space="preserve"> </v>
      </c>
      <c r="AC24" s="1">
        <f t="shared" si="0"/>
        <v>11.5</v>
      </c>
      <c r="AD24" s="1">
        <v>1</v>
      </c>
      <c r="AE24" s="1"/>
      <c r="AF24" s="1">
        <v>1</v>
      </c>
      <c r="AG24" s="1">
        <v>1</v>
      </c>
      <c r="AH24" s="1">
        <f>SUM(表1[[#This Row],[大运河]:[大杨山]])</f>
        <v>3</v>
      </c>
      <c r="AI24" s="1">
        <f>表1[[#This Row],[总拉练]]*2+表1[[#This Row],[总训练]]</f>
        <v>17.5</v>
      </c>
    </row>
    <row r="25" spans="1:35" x14ac:dyDescent="0.3">
      <c r="A25" t="s">
        <v>2</v>
      </c>
      <c r="C25" s="1">
        <v>1</v>
      </c>
      <c r="D25" s="1">
        <v>0</v>
      </c>
      <c r="E25" s="1">
        <v>1</v>
      </c>
      <c r="F25" s="1">
        <v>1</v>
      </c>
      <c r="G25" s="1">
        <v>1</v>
      </c>
      <c r="H25" s="1">
        <v>1</v>
      </c>
      <c r="I25" s="1">
        <v>0</v>
      </c>
      <c r="J25" s="1">
        <v>0</v>
      </c>
      <c r="K25" s="1">
        <v>1</v>
      </c>
      <c r="L25" s="1">
        <v>0</v>
      </c>
      <c r="M25" s="1">
        <v>0</v>
      </c>
      <c r="N25" s="1">
        <v>0</v>
      </c>
      <c r="O25" s="1">
        <v>0</v>
      </c>
      <c r="P25" s="1">
        <v>1</v>
      </c>
      <c r="Q25" s="1">
        <v>0</v>
      </c>
      <c r="R25" s="1">
        <v>0</v>
      </c>
      <c r="S25" s="1">
        <v>1</v>
      </c>
      <c r="T25" s="1">
        <v>0</v>
      </c>
      <c r="U25" s="1">
        <v>1</v>
      </c>
      <c r="V25" s="1"/>
      <c r="W25" s="1">
        <v>1</v>
      </c>
      <c r="X25" s="1"/>
      <c r="Y25" s="1">
        <v>1</v>
      </c>
      <c r="Z25" s="1"/>
      <c r="AA25" s="1">
        <f>SUM(表1[[#This Row],[冬训14]:[冬训22]])</f>
        <v>4</v>
      </c>
      <c r="AB25" s="1" t="str">
        <f>IF(表1[[#This Row],[晚训后九次积分]]&lt;3,"少于3分"," ")</f>
        <v xml:space="preserve"> </v>
      </c>
      <c r="AC25" s="1">
        <f t="shared" si="0"/>
        <v>11</v>
      </c>
      <c r="AD25" s="1">
        <v>1</v>
      </c>
      <c r="AE25" s="1">
        <v>1</v>
      </c>
      <c r="AF25" s="1">
        <v>1</v>
      </c>
      <c r="AG25" s="1">
        <v>1</v>
      </c>
      <c r="AH25" s="1">
        <f>SUM(表1[[#This Row],[大运河]:[大杨山]])</f>
        <v>4</v>
      </c>
      <c r="AI25" s="1">
        <f>表1[[#This Row],[总拉练]]*2+表1[[#This Row],[总训练]]</f>
        <v>19</v>
      </c>
    </row>
    <row r="26" spans="1:35" x14ac:dyDescent="0.3">
      <c r="A26" t="s">
        <v>94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1</v>
      </c>
      <c r="J26" s="1">
        <v>0</v>
      </c>
      <c r="K26" s="1">
        <v>1</v>
      </c>
      <c r="L26" s="1">
        <v>1</v>
      </c>
      <c r="M26" s="1">
        <v>0</v>
      </c>
      <c r="N26" s="1">
        <v>0</v>
      </c>
      <c r="O26" s="1">
        <v>0</v>
      </c>
      <c r="P26" s="1">
        <v>0</v>
      </c>
      <c r="Q26" s="1">
        <v>1</v>
      </c>
      <c r="R26" s="1">
        <v>0</v>
      </c>
      <c r="S26" s="1">
        <v>1</v>
      </c>
      <c r="T26" s="1">
        <v>0</v>
      </c>
      <c r="U26" s="1">
        <v>1</v>
      </c>
      <c r="V26" s="1">
        <v>1</v>
      </c>
      <c r="W26" s="1">
        <v>1</v>
      </c>
      <c r="X26" s="1"/>
      <c r="Y26" s="1">
        <v>1</v>
      </c>
      <c r="Z26" s="1">
        <v>1</v>
      </c>
      <c r="AA26" s="1">
        <f>SUM(表1[[#This Row],[冬训14]:[冬训22]])</f>
        <v>5</v>
      </c>
      <c r="AB26" s="1" t="str">
        <f>IF(表1[[#This Row],[晚训后九次积分]]&lt;3,"少于3分"," ")</f>
        <v xml:space="preserve"> </v>
      </c>
      <c r="AC26" s="1">
        <f t="shared" si="0"/>
        <v>10</v>
      </c>
      <c r="AD26" s="1">
        <v>1</v>
      </c>
      <c r="AE26" s="1"/>
      <c r="AF26" s="1">
        <v>1</v>
      </c>
      <c r="AG26" s="1">
        <v>2</v>
      </c>
      <c r="AH26" s="1">
        <f>SUM(表1[[#This Row],[大运河]:[大杨山]])</f>
        <v>4</v>
      </c>
      <c r="AI26" s="1">
        <f>表1[[#This Row],[总拉练]]*2+表1[[#This Row],[总训练]]</f>
        <v>18</v>
      </c>
    </row>
    <row r="27" spans="1:35" x14ac:dyDescent="0.3">
      <c r="A27" t="s">
        <v>77</v>
      </c>
      <c r="C27" s="1">
        <v>0</v>
      </c>
      <c r="D27" s="1">
        <v>1</v>
      </c>
      <c r="E27" s="1">
        <v>1</v>
      </c>
      <c r="F27" s="1">
        <v>0</v>
      </c>
      <c r="G27" s="1">
        <v>0</v>
      </c>
      <c r="H27" s="1">
        <v>1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1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1</v>
      </c>
      <c r="V27" s="1"/>
      <c r="W27" s="1">
        <v>1</v>
      </c>
      <c r="X27" s="1">
        <v>1</v>
      </c>
      <c r="Y27" s="1">
        <v>1</v>
      </c>
      <c r="Z27" s="1"/>
      <c r="AA27" s="1">
        <f>SUM(表1[[#This Row],[冬训14]:[冬训22]])</f>
        <v>3</v>
      </c>
      <c r="AB27" s="1" t="str">
        <f>IF(表1[[#This Row],[晚训后九次积分]]&lt;3,"少于3分"," ")</f>
        <v xml:space="preserve"> </v>
      </c>
      <c r="AC27" s="1">
        <f t="shared" si="0"/>
        <v>8</v>
      </c>
      <c r="AD27" s="1">
        <v>2</v>
      </c>
      <c r="AE27" s="1"/>
      <c r="AF27" s="1">
        <v>1</v>
      </c>
      <c r="AG27" s="1">
        <v>2</v>
      </c>
      <c r="AH27" s="1">
        <f>SUM(表1[[#This Row],[大运河]:[大杨山]])</f>
        <v>5</v>
      </c>
      <c r="AI27" s="1">
        <f>表1[[#This Row],[总拉练]]*2+表1[[#This Row],[总训练]]</f>
        <v>18</v>
      </c>
    </row>
    <row r="28" spans="1:35" x14ac:dyDescent="0.3">
      <c r="A28" t="s">
        <v>28</v>
      </c>
      <c r="C28" s="1">
        <v>1</v>
      </c>
      <c r="D28" s="1">
        <v>1</v>
      </c>
      <c r="E28" s="1">
        <v>1</v>
      </c>
      <c r="F28" s="1">
        <v>0</v>
      </c>
      <c r="G28" s="1">
        <v>0</v>
      </c>
      <c r="H28" s="1">
        <v>0</v>
      </c>
      <c r="I28" s="1">
        <v>0</v>
      </c>
      <c r="J28" s="1">
        <v>1</v>
      </c>
      <c r="K28" s="1">
        <v>0</v>
      </c>
      <c r="L28" s="1">
        <v>0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1">
        <v>1</v>
      </c>
      <c r="S28" s="1">
        <v>0</v>
      </c>
      <c r="T28" s="1">
        <v>0</v>
      </c>
      <c r="U28" s="1"/>
      <c r="V28" s="1"/>
      <c r="W28" s="1"/>
      <c r="X28" s="1"/>
      <c r="Y28" s="1">
        <v>1</v>
      </c>
      <c r="Z28" s="1"/>
      <c r="AA28" s="1">
        <f>SUM(表1[[#This Row],[冬训14]:[冬训22]])</f>
        <v>1</v>
      </c>
      <c r="AB28" s="1" t="str">
        <f>IF(表1[[#This Row],[晚训后九次积分]]&lt;3,"少于3分"," ")</f>
        <v>少于3分</v>
      </c>
      <c r="AC28" s="1">
        <f t="shared" si="0"/>
        <v>7</v>
      </c>
      <c r="AD28" s="1"/>
      <c r="AE28" s="1">
        <v>2</v>
      </c>
      <c r="AF28" s="1">
        <v>2</v>
      </c>
      <c r="AG28" s="1">
        <v>1</v>
      </c>
      <c r="AH28" s="1">
        <f>SUM(表1[[#This Row],[大运河]:[大杨山]])</f>
        <v>5</v>
      </c>
      <c r="AI28" s="1">
        <f>表1[[#This Row],[总拉练]]*2+表1[[#This Row],[总训练]]</f>
        <v>17</v>
      </c>
    </row>
    <row r="29" spans="1:35" x14ac:dyDescent="0.3">
      <c r="A29" t="s">
        <v>102</v>
      </c>
      <c r="C29" s="1">
        <v>0</v>
      </c>
      <c r="D29" s="1">
        <v>0</v>
      </c>
      <c r="E29" s="1">
        <v>0</v>
      </c>
      <c r="F29" s="1">
        <v>0.5</v>
      </c>
      <c r="G29" s="1">
        <v>1</v>
      </c>
      <c r="H29" s="1">
        <v>0</v>
      </c>
      <c r="I29" s="1">
        <v>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/>
      <c r="Y29" s="1"/>
      <c r="Z29" s="1"/>
      <c r="AA29" s="1">
        <f>SUM(表1[[#This Row],[冬训14]:[冬训22]])</f>
        <v>8</v>
      </c>
      <c r="AB29" s="1" t="str">
        <f>IF(表1[[#This Row],[晚训后九次积分]]&lt;3,"少于3分"," ")</f>
        <v xml:space="preserve"> </v>
      </c>
      <c r="AC29" s="1">
        <f t="shared" si="0"/>
        <v>10.5</v>
      </c>
      <c r="AD29" s="1">
        <v>1</v>
      </c>
      <c r="AE29" s="1">
        <v>1</v>
      </c>
      <c r="AF29" s="1"/>
      <c r="AG29" s="1">
        <v>1</v>
      </c>
      <c r="AH29" s="1">
        <f>SUM(表1[[#This Row],[大运河]:[大杨山]])</f>
        <v>3</v>
      </c>
      <c r="AI29" s="1">
        <f>表1[[#This Row],[总拉练]]*2+表1[[#This Row],[总训练]]</f>
        <v>16.5</v>
      </c>
    </row>
    <row r="30" spans="1:35" x14ac:dyDescent="0.3">
      <c r="A30" t="s">
        <v>55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0</v>
      </c>
      <c r="I30" s="1">
        <v>1</v>
      </c>
      <c r="J30" s="1">
        <v>1</v>
      </c>
      <c r="K30" s="1">
        <v>0</v>
      </c>
      <c r="L30" s="1">
        <v>1</v>
      </c>
      <c r="M30" s="1">
        <v>0</v>
      </c>
      <c r="N30" s="1">
        <v>0</v>
      </c>
      <c r="O30" s="1">
        <v>0</v>
      </c>
      <c r="P30" s="1">
        <v>1</v>
      </c>
      <c r="Q30" s="1">
        <v>0</v>
      </c>
      <c r="R30" s="1">
        <v>0</v>
      </c>
      <c r="S30" s="1">
        <v>0</v>
      </c>
      <c r="T30" s="1">
        <v>0</v>
      </c>
      <c r="U30" s="1"/>
      <c r="V30" s="1"/>
      <c r="W30" s="1"/>
      <c r="X30" s="1"/>
      <c r="Y30" s="1"/>
      <c r="Z30" s="1">
        <v>1</v>
      </c>
      <c r="AA30" s="1">
        <f>SUM(表1[[#This Row],[冬训14]:[冬训22]])</f>
        <v>1</v>
      </c>
      <c r="AB30" s="1" t="str">
        <f>IF(表1[[#This Row],[晚训后九次积分]]&lt;3,"少于3分"," ")</f>
        <v>少于3分</v>
      </c>
      <c r="AC30" s="1">
        <f t="shared" si="0"/>
        <v>10</v>
      </c>
      <c r="AD30" s="1"/>
      <c r="AE30" s="1">
        <v>1</v>
      </c>
      <c r="AF30" s="1">
        <v>1</v>
      </c>
      <c r="AG30" s="1">
        <v>1</v>
      </c>
      <c r="AH30" s="1">
        <f>SUM(表1[[#This Row],[大运河]:[大杨山]])</f>
        <v>3</v>
      </c>
      <c r="AI30" s="1">
        <f>表1[[#This Row],[总拉练]]*2+表1[[#This Row],[总训练]]</f>
        <v>16</v>
      </c>
    </row>
    <row r="31" spans="1:35" x14ac:dyDescent="0.3">
      <c r="A31" t="s">
        <v>19</v>
      </c>
      <c r="C31" s="1">
        <v>1</v>
      </c>
      <c r="D31" s="1">
        <v>1</v>
      </c>
      <c r="E31" s="1">
        <v>1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1</v>
      </c>
      <c r="L31" s="1">
        <v>0</v>
      </c>
      <c r="M31" s="1">
        <v>1</v>
      </c>
      <c r="N31" s="1">
        <v>1</v>
      </c>
      <c r="O31" s="1">
        <v>1</v>
      </c>
      <c r="P31" s="1">
        <v>0</v>
      </c>
      <c r="Q31" s="1">
        <v>1</v>
      </c>
      <c r="R31" s="1">
        <v>0</v>
      </c>
      <c r="S31" s="1">
        <v>1</v>
      </c>
      <c r="T31" s="1">
        <v>0</v>
      </c>
      <c r="U31" s="1"/>
      <c r="V31" s="1"/>
      <c r="W31" s="1"/>
      <c r="X31" s="1"/>
      <c r="Y31" s="1"/>
      <c r="Z31" s="1"/>
      <c r="AA31" s="1">
        <f>SUM(表1[[#This Row],[冬训14]:[冬训22]])</f>
        <v>2</v>
      </c>
      <c r="AB31" s="1" t="str">
        <f>IF(表1[[#This Row],[晚训后九次积分]]&lt;3,"少于3分"," ")</f>
        <v>少于3分</v>
      </c>
      <c r="AC31" s="1">
        <f t="shared" si="0"/>
        <v>9</v>
      </c>
      <c r="AD31" s="1">
        <v>1</v>
      </c>
      <c r="AE31" s="1"/>
      <c r="AF31" s="1">
        <v>1</v>
      </c>
      <c r="AG31" s="1">
        <v>1</v>
      </c>
      <c r="AH31" s="1">
        <f>SUM(表1[[#This Row],[大运河]:[大杨山]])</f>
        <v>3</v>
      </c>
      <c r="AI31" s="1">
        <f>表1[[#This Row],[总拉练]]*2+表1[[#This Row],[总训练]]</f>
        <v>15</v>
      </c>
    </row>
    <row r="32" spans="1:35" x14ac:dyDescent="0.3">
      <c r="A32" t="s">
        <v>18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0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/>
      <c r="V32" s="1"/>
      <c r="W32" s="1"/>
      <c r="X32" s="1"/>
      <c r="Y32" s="1"/>
      <c r="Z32" s="1"/>
      <c r="AA32" s="1">
        <f>SUM(表1[[#This Row],[冬训14]:[冬训22]])</f>
        <v>0</v>
      </c>
      <c r="AB32" s="1" t="str">
        <f>IF(表1[[#This Row],[晚训后九次积分]]&lt;3,"少于3分"," ")</f>
        <v>少于3分</v>
      </c>
      <c r="AC32" s="1">
        <f t="shared" si="0"/>
        <v>12</v>
      </c>
      <c r="AD32" s="1"/>
      <c r="AE32" s="1"/>
      <c r="AF32" s="1"/>
      <c r="AG32" s="1">
        <v>1</v>
      </c>
      <c r="AH32" s="1">
        <f>SUM(表1[[#This Row],[大运河]:[大杨山]])</f>
        <v>1</v>
      </c>
      <c r="AI32" s="1">
        <f>表1[[#This Row],[总拉练]]*2+表1[[#This Row],[总训练]]</f>
        <v>14</v>
      </c>
    </row>
    <row r="33" spans="1:35" x14ac:dyDescent="0.3">
      <c r="A33" t="s">
        <v>15</v>
      </c>
      <c r="C33" s="1">
        <v>1</v>
      </c>
      <c r="D33" s="1">
        <v>1</v>
      </c>
      <c r="E33" s="1">
        <v>1</v>
      </c>
      <c r="F33" s="1">
        <v>1</v>
      </c>
      <c r="G33" s="1">
        <v>0</v>
      </c>
      <c r="H33" s="1">
        <v>1</v>
      </c>
      <c r="I33" s="1">
        <v>1</v>
      </c>
      <c r="J33" s="1">
        <v>1</v>
      </c>
      <c r="K33" s="1">
        <v>1</v>
      </c>
      <c r="L33" s="1">
        <v>0</v>
      </c>
      <c r="M33" s="1">
        <v>1</v>
      </c>
      <c r="N33" s="1">
        <v>0</v>
      </c>
      <c r="O33" s="1">
        <v>0.5</v>
      </c>
      <c r="P33" s="1">
        <v>0</v>
      </c>
      <c r="Q33" s="1">
        <v>0</v>
      </c>
      <c r="R33" s="1">
        <v>1</v>
      </c>
      <c r="S33" s="1">
        <v>1</v>
      </c>
      <c r="T33" s="1">
        <v>0</v>
      </c>
      <c r="U33" s="1"/>
      <c r="V33" s="1"/>
      <c r="W33" s="1"/>
      <c r="X33" s="1"/>
      <c r="Y33" s="1"/>
      <c r="Z33" s="1"/>
      <c r="AA33" s="1">
        <f>SUM(表1[[#This Row],[冬训14]:[冬训22]])</f>
        <v>2</v>
      </c>
      <c r="AB33" s="1" t="str">
        <f>IF(表1[[#This Row],[晚训后九次积分]]&lt;3,"少于3分"," ")</f>
        <v>少于3分</v>
      </c>
      <c r="AC33" s="1">
        <f t="shared" si="0"/>
        <v>11.5</v>
      </c>
      <c r="AD33" s="1"/>
      <c r="AE33" s="1"/>
      <c r="AF33" s="1"/>
      <c r="AG33" s="1">
        <v>1</v>
      </c>
      <c r="AH33" s="1">
        <f>SUM(表1[[#This Row],[大运河]:[大杨山]])</f>
        <v>1</v>
      </c>
      <c r="AI33" s="1">
        <f>表1[[#This Row],[总拉练]]*2+表1[[#This Row],[总训练]]</f>
        <v>13.5</v>
      </c>
    </row>
    <row r="34" spans="1:35" x14ac:dyDescent="0.3">
      <c r="A34" t="s">
        <v>22</v>
      </c>
      <c r="C34" s="1">
        <v>1</v>
      </c>
      <c r="D34" s="1">
        <v>1</v>
      </c>
      <c r="E34" s="1">
        <v>0</v>
      </c>
      <c r="F34" s="1">
        <v>0</v>
      </c>
      <c r="G34" s="1">
        <v>0</v>
      </c>
      <c r="H34" s="1">
        <v>1</v>
      </c>
      <c r="I34" s="1">
        <v>1</v>
      </c>
      <c r="J34" s="1">
        <v>0</v>
      </c>
      <c r="K34" s="1">
        <v>1</v>
      </c>
      <c r="L34" s="1">
        <v>1</v>
      </c>
      <c r="M34" s="1">
        <v>0</v>
      </c>
      <c r="N34" s="1">
        <v>0</v>
      </c>
      <c r="O34" s="1">
        <v>0</v>
      </c>
      <c r="P34" s="1">
        <v>0</v>
      </c>
      <c r="Q34" s="1">
        <v>1</v>
      </c>
      <c r="R34" s="1">
        <v>0</v>
      </c>
      <c r="S34" s="1">
        <v>1</v>
      </c>
      <c r="T34" s="1">
        <v>1</v>
      </c>
      <c r="U34" s="1"/>
      <c r="V34" s="1"/>
      <c r="W34" s="1"/>
      <c r="X34" s="1"/>
      <c r="Y34" s="1"/>
      <c r="Z34" s="1"/>
      <c r="AA34" s="1">
        <f>SUM(表1[[#This Row],[冬训14]:[冬训22]])</f>
        <v>3</v>
      </c>
      <c r="AB34" s="1" t="str">
        <f>IF(表1[[#This Row],[晚训后九次积分]]&lt;3,"少于3分"," ")</f>
        <v xml:space="preserve"> </v>
      </c>
      <c r="AC34" s="1">
        <f t="shared" ref="AC34:AC70" si="2">SUM(C34:Z34)</f>
        <v>9</v>
      </c>
      <c r="AD34" s="1"/>
      <c r="AE34" s="1">
        <v>2</v>
      </c>
      <c r="AF34" s="1"/>
      <c r="AG34" s="1">
        <v>1</v>
      </c>
      <c r="AH34" s="1">
        <f>SUM(表1[[#This Row],[大运河]:[大杨山]])</f>
        <v>3</v>
      </c>
      <c r="AI34" s="1">
        <f>表1[[#This Row],[总拉练]]*2+表1[[#This Row],[总训练]]</f>
        <v>15</v>
      </c>
    </row>
    <row r="35" spans="1:35" x14ac:dyDescent="0.3">
      <c r="A35" t="s">
        <v>82</v>
      </c>
      <c r="C35" s="1">
        <v>1</v>
      </c>
      <c r="D35" s="1">
        <v>0</v>
      </c>
      <c r="E35" s="1">
        <v>1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1</v>
      </c>
      <c r="S35" s="1">
        <v>1</v>
      </c>
      <c r="T35" s="1">
        <v>0</v>
      </c>
      <c r="U35" s="1"/>
      <c r="V35" s="1">
        <v>1</v>
      </c>
      <c r="W35" s="1"/>
      <c r="X35" s="1"/>
      <c r="Y35" s="1">
        <v>1</v>
      </c>
      <c r="Z35" s="1">
        <v>1</v>
      </c>
      <c r="AA35" s="1">
        <f>SUM(表1[[#This Row],[冬训14]:[冬训22]])</f>
        <v>3</v>
      </c>
      <c r="AB35" s="1" t="str">
        <f>IF(表1[[#This Row],[晚训后九次积分]]&lt;3,"少于3分"," ")</f>
        <v xml:space="preserve"> </v>
      </c>
      <c r="AC35" s="1">
        <f t="shared" si="2"/>
        <v>8</v>
      </c>
      <c r="AD35" s="1">
        <v>1</v>
      </c>
      <c r="AE35" s="1"/>
      <c r="AF35" s="1">
        <v>1</v>
      </c>
      <c r="AG35" s="1">
        <v>1</v>
      </c>
      <c r="AH35" s="1">
        <f>SUM(表1[[#This Row],[大运河]:[大杨山]])</f>
        <v>3</v>
      </c>
      <c r="AI35" s="1">
        <f>表1[[#This Row],[总拉练]]*2+表1[[#This Row],[总训练]]</f>
        <v>14</v>
      </c>
    </row>
    <row r="36" spans="1:35" x14ac:dyDescent="0.3">
      <c r="A36" t="s">
        <v>123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1</v>
      </c>
      <c r="L36" s="1">
        <v>0</v>
      </c>
      <c r="M36" s="1">
        <v>0</v>
      </c>
      <c r="N36" s="1">
        <v>0</v>
      </c>
      <c r="O36" s="1">
        <v>0</v>
      </c>
      <c r="P36" s="1">
        <v>1</v>
      </c>
      <c r="Q36" s="1">
        <v>0</v>
      </c>
      <c r="R36" s="1">
        <v>1</v>
      </c>
      <c r="S36" s="1">
        <v>0</v>
      </c>
      <c r="T36" s="1">
        <v>1</v>
      </c>
      <c r="U36" s="1">
        <v>1</v>
      </c>
      <c r="V36" s="1">
        <v>1</v>
      </c>
      <c r="W36" s="1"/>
      <c r="X36" s="1">
        <v>1</v>
      </c>
      <c r="Y36" s="1"/>
      <c r="Z36" s="1">
        <v>1</v>
      </c>
      <c r="AA36" s="1">
        <f>SUM(表1[[#This Row],[冬训14]:[冬训22]])</f>
        <v>6</v>
      </c>
      <c r="AB36" s="1" t="str">
        <f>IF(表1[[#This Row],[晚训后九次积分]]&lt;3,"少于3分"," ")</f>
        <v xml:space="preserve"> </v>
      </c>
      <c r="AC36" s="1">
        <f t="shared" si="2"/>
        <v>8</v>
      </c>
      <c r="AD36" s="1">
        <v>1</v>
      </c>
      <c r="AE36" s="1">
        <v>1</v>
      </c>
      <c r="AF36" s="1"/>
      <c r="AG36" s="1">
        <v>1</v>
      </c>
      <c r="AH36" s="1">
        <f>SUM(表1[[#This Row],[大运河]:[大杨山]])</f>
        <v>3</v>
      </c>
      <c r="AI36" s="1">
        <f>表1[[#This Row],[总拉练]]*2+表1[[#This Row],[总训练]]</f>
        <v>14</v>
      </c>
    </row>
    <row r="37" spans="1:35" x14ac:dyDescent="0.3">
      <c r="A37" s="2" t="s">
        <v>135</v>
      </c>
      <c r="C37" s="4">
        <v>0</v>
      </c>
      <c r="D37" s="4">
        <v>0</v>
      </c>
      <c r="E37" s="4">
        <v>0</v>
      </c>
      <c r="F37" s="4">
        <v>1</v>
      </c>
      <c r="G37" s="4">
        <v>0</v>
      </c>
      <c r="H37" s="4">
        <v>0</v>
      </c>
      <c r="I37" s="4">
        <v>0</v>
      </c>
      <c r="J37" s="4">
        <v>1</v>
      </c>
      <c r="K37" s="4">
        <v>0</v>
      </c>
      <c r="L37" s="4">
        <v>0</v>
      </c>
      <c r="M37" s="1">
        <v>1</v>
      </c>
      <c r="N37" s="1">
        <v>0</v>
      </c>
      <c r="O37" s="1">
        <v>1</v>
      </c>
      <c r="P37" s="1">
        <v>0</v>
      </c>
      <c r="Q37" s="1">
        <v>1</v>
      </c>
      <c r="R37" s="1">
        <v>1</v>
      </c>
      <c r="S37" s="1">
        <v>0</v>
      </c>
      <c r="T37" s="1">
        <v>0</v>
      </c>
      <c r="U37" s="1"/>
      <c r="V37" s="1"/>
      <c r="W37" s="1">
        <v>1</v>
      </c>
      <c r="X37" s="1">
        <v>1</v>
      </c>
      <c r="Y37" s="1"/>
      <c r="Z37" s="1"/>
      <c r="AA37" s="1">
        <f>SUM(表1[[#This Row],[冬训14]:[冬训22]])</f>
        <v>4</v>
      </c>
      <c r="AB37" s="1" t="str">
        <f>IF(表1[[#This Row],[晚训后九次积分]]&lt;3,"少于3分"," ")</f>
        <v xml:space="preserve"> </v>
      </c>
      <c r="AC37" s="1">
        <f t="shared" si="2"/>
        <v>8</v>
      </c>
      <c r="AD37" s="1"/>
      <c r="AE37" s="1"/>
      <c r="AF37" s="1">
        <v>2</v>
      </c>
      <c r="AG37" s="1">
        <v>1</v>
      </c>
      <c r="AH37" s="1">
        <f>SUM(表1[[#This Row],[大运河]:[大杨山]])</f>
        <v>3</v>
      </c>
      <c r="AI37" s="1">
        <f>表1[[#This Row],[总拉练]]*2+表1[[#This Row],[总训练]]</f>
        <v>14</v>
      </c>
    </row>
    <row r="38" spans="1:35" x14ac:dyDescent="0.3">
      <c r="A38" t="s">
        <v>120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0</v>
      </c>
      <c r="I38" s="1">
        <v>0</v>
      </c>
      <c r="J38" s="1">
        <v>1</v>
      </c>
      <c r="K38" s="1">
        <v>0</v>
      </c>
      <c r="L38" s="1">
        <v>0</v>
      </c>
      <c r="M38" s="1">
        <v>0.5</v>
      </c>
      <c r="N38" s="1">
        <v>0</v>
      </c>
      <c r="O38" s="1">
        <v>1</v>
      </c>
      <c r="P38" s="1">
        <v>1</v>
      </c>
      <c r="Q38" s="1">
        <v>1</v>
      </c>
      <c r="R38" s="1">
        <v>0</v>
      </c>
      <c r="S38" s="1">
        <v>1</v>
      </c>
      <c r="T38" s="1">
        <v>0</v>
      </c>
      <c r="U38" s="1"/>
      <c r="V38" s="1"/>
      <c r="W38" s="1"/>
      <c r="X38" s="1"/>
      <c r="Y38" s="1">
        <v>1</v>
      </c>
      <c r="Z38" s="1">
        <v>1</v>
      </c>
      <c r="AA38" s="1">
        <f>SUM(表1[[#This Row],[冬训14]:[冬训22]])</f>
        <v>3</v>
      </c>
      <c r="AB38" s="1" t="str">
        <f>IF(表1[[#This Row],[晚训后九次积分]]&lt;3,"少于3分"," ")</f>
        <v xml:space="preserve"> </v>
      </c>
      <c r="AC38" s="1">
        <f t="shared" si="2"/>
        <v>8.5</v>
      </c>
      <c r="AD38" s="1"/>
      <c r="AE38" s="1">
        <v>1</v>
      </c>
      <c r="AF38" s="1">
        <v>1</v>
      </c>
      <c r="AG38" s="1">
        <v>1</v>
      </c>
      <c r="AH38" s="1">
        <f>SUM(表1[[#This Row],[大运河]:[大杨山]])</f>
        <v>3</v>
      </c>
      <c r="AI38" s="1">
        <f>表1[[#This Row],[总拉练]]*2+表1[[#This Row],[总训练]]</f>
        <v>14.5</v>
      </c>
    </row>
    <row r="39" spans="1:35" x14ac:dyDescent="0.3">
      <c r="A39" t="s">
        <v>96</v>
      </c>
      <c r="C39" s="1">
        <v>0</v>
      </c>
      <c r="D39" s="1">
        <v>1</v>
      </c>
      <c r="E39" s="1">
        <v>1</v>
      </c>
      <c r="F39" s="1">
        <v>0</v>
      </c>
      <c r="G39" s="1">
        <v>0</v>
      </c>
      <c r="H39" s="1">
        <v>0</v>
      </c>
      <c r="I39" s="1">
        <v>1</v>
      </c>
      <c r="J39" s="1">
        <v>1</v>
      </c>
      <c r="K39" s="1">
        <v>1</v>
      </c>
      <c r="L39" s="1">
        <v>0</v>
      </c>
      <c r="M39" s="1">
        <v>1</v>
      </c>
      <c r="N39" s="1">
        <v>0.5</v>
      </c>
      <c r="O39" s="1">
        <v>1</v>
      </c>
      <c r="P39" s="1">
        <v>0</v>
      </c>
      <c r="Q39" s="1">
        <v>1</v>
      </c>
      <c r="R39" s="1">
        <v>0</v>
      </c>
      <c r="S39" s="1">
        <v>0</v>
      </c>
      <c r="T39" s="1">
        <v>0</v>
      </c>
      <c r="U39" s="1">
        <v>1</v>
      </c>
      <c r="V39" s="1">
        <v>1</v>
      </c>
      <c r="W39" s="1"/>
      <c r="X39" s="1">
        <v>1</v>
      </c>
      <c r="Y39" s="1"/>
      <c r="Z39" s="1"/>
      <c r="AA39" s="1">
        <f>SUM(表1[[#This Row],[冬训14]:[冬训22]])</f>
        <v>4</v>
      </c>
      <c r="AB39" s="1" t="str">
        <f>IF(表1[[#This Row],[晚训后九次积分]]&lt;3,"少于3分"," ")</f>
        <v xml:space="preserve"> </v>
      </c>
      <c r="AC39" s="1">
        <f t="shared" si="2"/>
        <v>11.5</v>
      </c>
      <c r="AD39" s="1"/>
      <c r="AE39" s="1"/>
      <c r="AF39" s="1"/>
      <c r="AG39" s="1">
        <v>1</v>
      </c>
      <c r="AH39" s="1">
        <f>SUM(表1[[#This Row],[大运河]:[大杨山]])</f>
        <v>1</v>
      </c>
      <c r="AI39" s="1">
        <f>表1[[#This Row],[总拉练]]*2+表1[[#This Row],[总训练]]</f>
        <v>13.5</v>
      </c>
    </row>
    <row r="40" spans="1:35" x14ac:dyDescent="0.3">
      <c r="A40" t="s">
        <v>49</v>
      </c>
      <c r="C40" s="1">
        <v>1</v>
      </c>
      <c r="D40" s="1">
        <v>1</v>
      </c>
      <c r="E40" s="1">
        <v>0</v>
      </c>
      <c r="F40" s="1">
        <v>0</v>
      </c>
      <c r="G40" s="1">
        <v>1</v>
      </c>
      <c r="H40" s="1">
        <v>1</v>
      </c>
      <c r="I40" s="1">
        <v>0</v>
      </c>
      <c r="J40" s="1">
        <v>1</v>
      </c>
      <c r="K40" s="1">
        <v>0</v>
      </c>
      <c r="L40" s="1">
        <v>1</v>
      </c>
      <c r="M40" s="1">
        <v>0</v>
      </c>
      <c r="N40" s="1">
        <v>0</v>
      </c>
      <c r="O40" s="1">
        <v>1</v>
      </c>
      <c r="P40" s="1">
        <v>0</v>
      </c>
      <c r="Q40" s="1">
        <v>0</v>
      </c>
      <c r="R40" s="1">
        <v>1</v>
      </c>
      <c r="S40" s="1">
        <v>1</v>
      </c>
      <c r="T40" s="1">
        <v>0</v>
      </c>
      <c r="U40" s="1"/>
      <c r="V40" s="1"/>
      <c r="W40" s="1"/>
      <c r="X40" s="1"/>
      <c r="Y40" s="1"/>
      <c r="Z40" s="1"/>
      <c r="AA40" s="1">
        <f>SUM(表1[[#This Row],[冬训14]:[冬训22]])</f>
        <v>2</v>
      </c>
      <c r="AB40" s="1" t="str">
        <f>IF(表1[[#This Row],[晚训后九次积分]]&lt;3,"少于3分"," ")</f>
        <v>少于3分</v>
      </c>
      <c r="AC40" s="1">
        <f t="shared" si="2"/>
        <v>9</v>
      </c>
      <c r="AD40" s="1"/>
      <c r="AE40" s="1"/>
      <c r="AF40" s="1"/>
      <c r="AG40" s="1">
        <v>2</v>
      </c>
      <c r="AH40" s="1">
        <f>SUM(表1[[#This Row],[大运河]:[大杨山]])</f>
        <v>2</v>
      </c>
      <c r="AI40" s="1">
        <f>表1[[#This Row],[总拉练]]*2+表1[[#This Row],[总训练]]</f>
        <v>13</v>
      </c>
    </row>
    <row r="41" spans="1:35" x14ac:dyDescent="0.3">
      <c r="A41" t="s">
        <v>97</v>
      </c>
      <c r="C41" s="1">
        <v>0</v>
      </c>
      <c r="D41" s="1">
        <v>1</v>
      </c>
      <c r="E41" s="1">
        <v>0</v>
      </c>
      <c r="F41" s="1">
        <v>1</v>
      </c>
      <c r="G41" s="1">
        <v>0</v>
      </c>
      <c r="H41" s="1">
        <v>1</v>
      </c>
      <c r="I41" s="1">
        <v>0</v>
      </c>
      <c r="J41" s="1">
        <v>0</v>
      </c>
      <c r="K41" s="1">
        <v>0</v>
      </c>
      <c r="L41" s="1">
        <v>1</v>
      </c>
      <c r="M41" s="1">
        <v>0</v>
      </c>
      <c r="N41" s="1">
        <v>1</v>
      </c>
      <c r="O41" s="1">
        <v>0</v>
      </c>
      <c r="P41" s="1">
        <v>0</v>
      </c>
      <c r="Q41" s="1">
        <v>0</v>
      </c>
      <c r="R41" s="1">
        <v>0</v>
      </c>
      <c r="S41" s="1">
        <v>1</v>
      </c>
      <c r="T41" s="1">
        <v>0</v>
      </c>
      <c r="U41" s="1">
        <v>1</v>
      </c>
      <c r="V41" s="1">
        <v>1</v>
      </c>
      <c r="W41" s="1">
        <v>1</v>
      </c>
      <c r="X41" s="1"/>
      <c r="Y41" s="1"/>
      <c r="Z41" s="1"/>
      <c r="AA41" s="1">
        <f>SUM(表1[[#This Row],[冬训14]:[冬训22]])</f>
        <v>4</v>
      </c>
      <c r="AB41" s="1" t="str">
        <f>IF(表1[[#This Row],[晚训后九次积分]]&lt;3,"少于3分"," ")</f>
        <v xml:space="preserve"> </v>
      </c>
      <c r="AC41" s="1">
        <f t="shared" si="2"/>
        <v>9</v>
      </c>
      <c r="AD41" s="1"/>
      <c r="AE41" s="1"/>
      <c r="AF41" s="1"/>
      <c r="AG41" s="1">
        <v>2</v>
      </c>
      <c r="AH41" s="1">
        <f>SUM(表1[[#This Row],[大运河]:[大杨山]])</f>
        <v>2</v>
      </c>
      <c r="AI41" s="1">
        <f>表1[[#This Row],[总拉练]]*2+表1[[#This Row],[总训练]]</f>
        <v>13</v>
      </c>
    </row>
    <row r="42" spans="1:35" x14ac:dyDescent="0.3">
      <c r="A42" t="s">
        <v>108</v>
      </c>
      <c r="C42" s="1">
        <v>0</v>
      </c>
      <c r="D42" s="1">
        <v>0</v>
      </c>
      <c r="E42" s="1">
        <v>0</v>
      </c>
      <c r="F42" s="1">
        <v>1</v>
      </c>
      <c r="G42" s="1">
        <v>0</v>
      </c>
      <c r="H42" s="1">
        <v>1</v>
      </c>
      <c r="I42" s="1">
        <v>0</v>
      </c>
      <c r="J42" s="1">
        <v>0</v>
      </c>
      <c r="K42" s="1">
        <v>0</v>
      </c>
      <c r="L42" s="1">
        <v>1</v>
      </c>
      <c r="M42" s="1">
        <v>0</v>
      </c>
      <c r="N42" s="1">
        <v>0</v>
      </c>
      <c r="O42" s="1">
        <v>0</v>
      </c>
      <c r="P42" s="1">
        <v>1</v>
      </c>
      <c r="Q42" s="1">
        <v>0</v>
      </c>
      <c r="R42" s="1">
        <v>1</v>
      </c>
      <c r="S42" s="1">
        <v>1</v>
      </c>
      <c r="T42" s="1">
        <v>1</v>
      </c>
      <c r="U42" s="1">
        <v>1</v>
      </c>
      <c r="V42" s="1"/>
      <c r="W42" s="1"/>
      <c r="X42" s="1">
        <v>1</v>
      </c>
      <c r="Y42" s="1"/>
      <c r="Z42" s="1"/>
      <c r="AA42" s="1">
        <f>SUM(表1[[#This Row],[冬训14]:[冬训22]])</f>
        <v>6</v>
      </c>
      <c r="AB42" s="1" t="str">
        <f>IF(表1[[#This Row],[晚训后九次积分]]&lt;3,"少于3分"," ")</f>
        <v xml:space="preserve"> </v>
      </c>
      <c r="AC42" s="1">
        <f t="shared" si="2"/>
        <v>9</v>
      </c>
      <c r="AD42" s="1"/>
      <c r="AE42" s="1">
        <v>1</v>
      </c>
      <c r="AF42" s="1">
        <v>1</v>
      </c>
      <c r="AG42" s="1">
        <v>1</v>
      </c>
      <c r="AH42" s="1">
        <f>SUM(表1[[#This Row],[大运河]:[大杨山]])</f>
        <v>3</v>
      </c>
      <c r="AI42" s="1">
        <f>表1[[#This Row],[总拉练]]*2+表1[[#This Row],[总训练]]</f>
        <v>15</v>
      </c>
    </row>
    <row r="43" spans="1:35" x14ac:dyDescent="0.3">
      <c r="A43" t="s">
        <v>40</v>
      </c>
      <c r="C43" s="1">
        <v>1</v>
      </c>
      <c r="D43" s="1">
        <v>0.5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/>
      <c r="M43" s="1">
        <v>0.5</v>
      </c>
      <c r="N43" s="1">
        <v>1</v>
      </c>
      <c r="O43" s="1">
        <v>0</v>
      </c>
      <c r="P43" s="1">
        <v>1</v>
      </c>
      <c r="Q43" s="1">
        <v>0</v>
      </c>
      <c r="R43" s="1">
        <v>1</v>
      </c>
      <c r="S43" s="1">
        <v>1</v>
      </c>
      <c r="T43" s="1">
        <v>0.5</v>
      </c>
      <c r="U43" s="1"/>
      <c r="V43" s="1">
        <v>1</v>
      </c>
      <c r="W43" s="1">
        <v>1</v>
      </c>
      <c r="X43" s="1">
        <v>1</v>
      </c>
      <c r="Y43" s="1"/>
      <c r="Z43" s="1"/>
      <c r="AA43" s="1">
        <f>SUM(表1[[#This Row],[冬训14]:[冬训22]])</f>
        <v>6.5</v>
      </c>
      <c r="AB43" s="1" t="str">
        <f>IF(表1[[#This Row],[晚训后九次积分]]&lt;3,"少于3分"," ")</f>
        <v xml:space="preserve"> </v>
      </c>
      <c r="AC43" s="1">
        <f t="shared" si="2"/>
        <v>9.5</v>
      </c>
      <c r="AD43" s="1"/>
      <c r="AE43" s="1"/>
      <c r="AF43" s="1"/>
      <c r="AG43" s="1">
        <v>2</v>
      </c>
      <c r="AH43" s="1">
        <f>SUM(表1[[#This Row],[大运河]:[大杨山]])</f>
        <v>2</v>
      </c>
      <c r="AI43" s="1">
        <f>表1[[#This Row],[总拉练]]*2+表1[[#This Row],[总训练]]</f>
        <v>13.5</v>
      </c>
    </row>
    <row r="44" spans="1:35" x14ac:dyDescent="0.3">
      <c r="A44" t="s">
        <v>16</v>
      </c>
      <c r="C44" s="1">
        <v>1</v>
      </c>
      <c r="D44" s="1">
        <v>1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1</v>
      </c>
      <c r="K44" s="1">
        <v>0</v>
      </c>
      <c r="L44" s="1">
        <v>0</v>
      </c>
      <c r="M44" s="1">
        <v>1</v>
      </c>
      <c r="N44" s="1">
        <v>0</v>
      </c>
      <c r="O44" s="1">
        <v>1</v>
      </c>
      <c r="P44" s="1">
        <v>0</v>
      </c>
      <c r="Q44" s="1">
        <v>0</v>
      </c>
      <c r="R44" s="1">
        <v>1</v>
      </c>
      <c r="S44" s="1">
        <v>1</v>
      </c>
      <c r="T44" s="1">
        <v>0</v>
      </c>
      <c r="U44" s="1"/>
      <c r="V44" s="1"/>
      <c r="W44" s="1"/>
      <c r="X44" s="1"/>
      <c r="Y44" s="1"/>
      <c r="Z44" s="1"/>
      <c r="AA44" s="1">
        <f>SUM(表1[[#This Row],[冬训14]:[冬训22]])</f>
        <v>2</v>
      </c>
      <c r="AB44" s="1" t="str">
        <f>IF(表1[[#This Row],[晚训后九次积分]]&lt;3,"少于3分"," ")</f>
        <v>少于3分</v>
      </c>
      <c r="AC44" s="1">
        <f t="shared" si="2"/>
        <v>7</v>
      </c>
      <c r="AD44" s="1">
        <v>1</v>
      </c>
      <c r="AE44" s="1"/>
      <c r="AF44" s="1">
        <v>1</v>
      </c>
      <c r="AG44" s="1">
        <v>1</v>
      </c>
      <c r="AH44" s="1">
        <f>SUM(表1[[#This Row],[大运河]:[大杨山]])</f>
        <v>3</v>
      </c>
      <c r="AI44" s="1">
        <f>表1[[#This Row],[总拉练]]*2+表1[[#This Row],[总训练]]</f>
        <v>13</v>
      </c>
    </row>
    <row r="45" spans="1:35" x14ac:dyDescent="0.3">
      <c r="A45" t="s">
        <v>26</v>
      </c>
      <c r="C45" s="1">
        <v>1</v>
      </c>
      <c r="D45" s="1">
        <v>0</v>
      </c>
      <c r="E45" s="1">
        <v>0</v>
      </c>
      <c r="F45" s="1">
        <v>1</v>
      </c>
      <c r="G45" s="1">
        <v>0</v>
      </c>
      <c r="H45" s="1">
        <v>0</v>
      </c>
      <c r="I45" s="1">
        <v>1</v>
      </c>
      <c r="J45" s="1">
        <v>0</v>
      </c>
      <c r="K45" s="1">
        <v>0</v>
      </c>
      <c r="L45" s="1">
        <v>1</v>
      </c>
      <c r="M45" s="1">
        <v>0</v>
      </c>
      <c r="N45" s="1">
        <v>0</v>
      </c>
      <c r="O45" s="1">
        <v>1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1</v>
      </c>
      <c r="V45" s="1">
        <v>1</v>
      </c>
      <c r="W45" s="1"/>
      <c r="X45" s="1"/>
      <c r="Y45" s="1"/>
      <c r="Z45" s="1"/>
      <c r="AA45" s="1">
        <f>SUM(表1[[#This Row],[冬训14]:[冬训22]])</f>
        <v>2</v>
      </c>
      <c r="AB45" s="1" t="str">
        <f>IF(表1[[#This Row],[晚训后九次积分]]&lt;3,"少于3分"," ")</f>
        <v>少于3分</v>
      </c>
      <c r="AC45" s="1">
        <f t="shared" si="2"/>
        <v>7</v>
      </c>
      <c r="AD45" s="1">
        <v>2</v>
      </c>
      <c r="AE45" s="1"/>
      <c r="AF45" s="1"/>
      <c r="AG45" s="1">
        <v>1</v>
      </c>
      <c r="AH45" s="1">
        <f>SUM(表1[[#This Row],[大运河]:[大杨山]])</f>
        <v>3</v>
      </c>
      <c r="AI45" s="1">
        <f>表1[[#This Row],[总拉练]]*2+表1[[#This Row],[总训练]]</f>
        <v>13</v>
      </c>
    </row>
    <row r="46" spans="1:35" x14ac:dyDescent="0.3">
      <c r="A46" t="s">
        <v>76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1</v>
      </c>
      <c r="K46" s="1">
        <v>1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1</v>
      </c>
      <c r="R46" s="1">
        <v>0</v>
      </c>
      <c r="S46" s="1">
        <v>0</v>
      </c>
      <c r="T46" s="1">
        <v>1</v>
      </c>
      <c r="U46" s="1">
        <v>1</v>
      </c>
      <c r="V46" s="1"/>
      <c r="W46" s="1">
        <v>1</v>
      </c>
      <c r="X46" s="1">
        <v>1</v>
      </c>
      <c r="Y46" s="1"/>
      <c r="Z46" s="1"/>
      <c r="AA46" s="1">
        <f>SUM(表1[[#This Row],[冬训14]:[冬训22]])</f>
        <v>5</v>
      </c>
      <c r="AB46" s="1" t="str">
        <f>IF(表1[[#This Row],[晚训后九次积分]]&lt;3,"少于3分"," ")</f>
        <v xml:space="preserve"> </v>
      </c>
      <c r="AC46" s="1">
        <f t="shared" si="2"/>
        <v>7</v>
      </c>
      <c r="AD46" s="1"/>
      <c r="AE46" s="1">
        <v>1</v>
      </c>
      <c r="AF46" s="1">
        <v>1</v>
      </c>
      <c r="AG46" s="1">
        <v>1</v>
      </c>
      <c r="AH46" s="1">
        <f>SUM(表1[[#This Row],[大运河]:[大杨山]])</f>
        <v>3</v>
      </c>
      <c r="AI46" s="1">
        <f>表1[[#This Row],[总拉练]]*2+表1[[#This Row],[总训练]]</f>
        <v>13</v>
      </c>
    </row>
    <row r="47" spans="1:35" x14ac:dyDescent="0.3">
      <c r="A47" t="s">
        <v>73</v>
      </c>
      <c r="C47" s="1">
        <v>0</v>
      </c>
      <c r="D47" s="1">
        <v>1</v>
      </c>
      <c r="E47" s="1">
        <v>1</v>
      </c>
      <c r="F47" s="1">
        <v>0</v>
      </c>
      <c r="G47" s="1">
        <v>0</v>
      </c>
      <c r="H47" s="1">
        <v>1</v>
      </c>
      <c r="I47" s="1">
        <v>1</v>
      </c>
      <c r="J47" s="1">
        <v>0</v>
      </c>
      <c r="K47" s="1">
        <v>1</v>
      </c>
      <c r="L47" s="1">
        <v>1</v>
      </c>
      <c r="M47" s="1">
        <v>0</v>
      </c>
      <c r="N47" s="1">
        <v>1</v>
      </c>
      <c r="O47" s="1">
        <v>1</v>
      </c>
      <c r="P47" s="1">
        <v>0</v>
      </c>
      <c r="Q47" s="1">
        <v>1</v>
      </c>
      <c r="R47" s="1">
        <v>0</v>
      </c>
      <c r="S47" s="1">
        <v>1</v>
      </c>
      <c r="T47" s="1">
        <v>0</v>
      </c>
      <c r="U47" s="1"/>
      <c r="V47" s="1"/>
      <c r="W47" s="1"/>
      <c r="X47" s="1"/>
      <c r="Y47" s="1"/>
      <c r="Z47" s="1"/>
      <c r="AA47" s="1">
        <f>SUM(表1[[#This Row],[冬训14]:[冬训22]])</f>
        <v>2</v>
      </c>
      <c r="AB47" s="1" t="str">
        <f>IF(表1[[#This Row],[晚训后九次积分]]&lt;3,"少于3分"," ")</f>
        <v>少于3分</v>
      </c>
      <c r="AC47" s="1">
        <f t="shared" si="2"/>
        <v>10</v>
      </c>
      <c r="AD47" s="1"/>
      <c r="AE47" s="1"/>
      <c r="AF47" s="1"/>
      <c r="AG47" s="1">
        <v>1</v>
      </c>
      <c r="AH47" s="1">
        <f>SUM(表1[[#This Row],[大运河]:[大杨山]])</f>
        <v>1</v>
      </c>
      <c r="AI47" s="1">
        <f>表1[[#This Row],[总拉练]]*2+表1[[#This Row],[总训练]]</f>
        <v>12</v>
      </c>
    </row>
    <row r="48" spans="1:35" x14ac:dyDescent="0.3">
      <c r="A48" t="s">
        <v>0</v>
      </c>
      <c r="C48" s="1">
        <v>1</v>
      </c>
      <c r="D48" s="1">
        <v>1</v>
      </c>
      <c r="E48" s="1">
        <v>1</v>
      </c>
      <c r="F48" s="1">
        <v>1</v>
      </c>
      <c r="G48" s="1">
        <v>0</v>
      </c>
      <c r="H48" s="1">
        <v>1</v>
      </c>
      <c r="I48" s="1">
        <v>0</v>
      </c>
      <c r="J48" s="1">
        <v>0</v>
      </c>
      <c r="K48" s="1">
        <v>0</v>
      </c>
      <c r="L48" s="1">
        <v>1</v>
      </c>
      <c r="M48" s="1">
        <v>0</v>
      </c>
      <c r="N48" s="1">
        <v>0</v>
      </c>
      <c r="O48" s="1">
        <v>1</v>
      </c>
      <c r="P48" s="1">
        <v>0</v>
      </c>
      <c r="Q48" s="1">
        <v>0</v>
      </c>
      <c r="R48" s="1">
        <v>0</v>
      </c>
      <c r="S48" s="1">
        <v>1</v>
      </c>
      <c r="T48" s="1">
        <v>0</v>
      </c>
      <c r="U48" s="1"/>
      <c r="V48" s="1"/>
      <c r="W48" s="1"/>
      <c r="X48" s="1"/>
      <c r="Y48" s="1"/>
      <c r="Z48" s="1"/>
      <c r="AA48" s="1">
        <f>SUM(表1[[#This Row],[冬训14]:[冬训22]])</f>
        <v>1</v>
      </c>
      <c r="AB48" s="1" t="str">
        <f>IF(表1[[#This Row],[晚训后九次积分]]&lt;3,"少于3分"," ")</f>
        <v>少于3分</v>
      </c>
      <c r="AC48" s="1">
        <f t="shared" si="2"/>
        <v>8</v>
      </c>
      <c r="AD48" s="1">
        <v>1</v>
      </c>
      <c r="AE48" s="1"/>
      <c r="AF48" s="1"/>
      <c r="AG48" s="1">
        <v>1</v>
      </c>
      <c r="AH48" s="1">
        <f>SUM(表1[[#This Row],[大运河]:[大杨山]])</f>
        <v>2</v>
      </c>
      <c r="AI48" s="1">
        <f>表1[[#This Row],[总拉练]]*2+表1[[#This Row],[总训练]]</f>
        <v>12</v>
      </c>
    </row>
    <row r="49" spans="1:35" x14ac:dyDescent="0.3">
      <c r="A49" t="s">
        <v>32</v>
      </c>
      <c r="C49" s="1">
        <v>1</v>
      </c>
      <c r="D49" s="1">
        <v>1</v>
      </c>
      <c r="E49" s="1">
        <v>1</v>
      </c>
      <c r="F49" s="1">
        <v>0</v>
      </c>
      <c r="G49" s="1">
        <v>1</v>
      </c>
      <c r="H49" s="1">
        <v>1</v>
      </c>
      <c r="I49" s="1">
        <v>0</v>
      </c>
      <c r="J49" s="1">
        <v>0</v>
      </c>
      <c r="K49" s="1">
        <v>1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/>
      <c r="V49" s="1"/>
      <c r="W49" s="1"/>
      <c r="X49" s="1"/>
      <c r="Y49" s="1"/>
      <c r="Z49" s="1"/>
      <c r="AA49" s="1">
        <f>SUM(表1[[#This Row],[冬训14]:[冬训22]])</f>
        <v>0</v>
      </c>
      <c r="AB49" s="1" t="str">
        <f>IF(表1[[#This Row],[晚训后九次积分]]&lt;3,"少于3分"," ")</f>
        <v>少于3分</v>
      </c>
      <c r="AC49" s="1">
        <f t="shared" si="2"/>
        <v>6</v>
      </c>
      <c r="AD49" s="1"/>
      <c r="AE49" s="1"/>
      <c r="AF49" s="1">
        <v>2</v>
      </c>
      <c r="AG49" s="1">
        <v>1</v>
      </c>
      <c r="AH49" s="1">
        <f>SUM(表1[[#This Row],[大运河]:[大杨山]])</f>
        <v>3</v>
      </c>
      <c r="AI49" s="1">
        <f>表1[[#This Row],[总拉练]]*2+表1[[#This Row],[总训练]]</f>
        <v>12</v>
      </c>
    </row>
    <row r="50" spans="1:35" x14ac:dyDescent="0.3">
      <c r="A50" t="s">
        <v>204</v>
      </c>
      <c r="C50" s="1">
        <v>0</v>
      </c>
      <c r="D50" s="1">
        <v>0</v>
      </c>
      <c r="E50" s="1">
        <v>1</v>
      </c>
      <c r="F50" s="1">
        <v>1</v>
      </c>
      <c r="G50" s="1">
        <v>1</v>
      </c>
      <c r="H50" s="1">
        <v>1</v>
      </c>
      <c r="I50" s="1">
        <v>0</v>
      </c>
      <c r="J50" s="1">
        <v>0</v>
      </c>
      <c r="K50" s="1">
        <v>1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/>
      <c r="V50" s="1"/>
      <c r="W50" s="1"/>
      <c r="X50" s="1"/>
      <c r="Y50" s="1">
        <v>1</v>
      </c>
      <c r="Z50" s="1"/>
      <c r="AA50" s="1">
        <f>SUM(表1[[#This Row],[冬训14]:[冬训22]])</f>
        <v>0</v>
      </c>
      <c r="AB50" s="1" t="str">
        <f>IF(表1[[#This Row],[晚训后九次积分]]&lt;3,"少于3分"," ")</f>
        <v>少于3分</v>
      </c>
      <c r="AC50" s="1">
        <f t="shared" si="2"/>
        <v>6</v>
      </c>
      <c r="AD50" s="1"/>
      <c r="AE50" s="1"/>
      <c r="AF50" s="1">
        <v>2</v>
      </c>
      <c r="AG50" s="1">
        <v>1</v>
      </c>
      <c r="AH50" s="1">
        <f>SUM(表1[[#This Row],[大运河]:[大杨山]])</f>
        <v>3</v>
      </c>
      <c r="AI50" s="1">
        <f>表1[[#This Row],[总拉练]]*2+表1[[#This Row],[总训练]]</f>
        <v>12</v>
      </c>
    </row>
    <row r="51" spans="1:35" x14ac:dyDescent="0.3">
      <c r="A51" t="s">
        <v>146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1</v>
      </c>
      <c r="Q51" s="1">
        <v>1</v>
      </c>
      <c r="R51" s="1">
        <v>0</v>
      </c>
      <c r="S51" s="1">
        <v>1</v>
      </c>
      <c r="T51" s="1">
        <v>1</v>
      </c>
      <c r="U51" s="1">
        <v>1</v>
      </c>
      <c r="V51" s="1"/>
      <c r="W51" s="1"/>
      <c r="X51" s="1"/>
      <c r="Y51" s="1"/>
      <c r="Z51" s="1">
        <v>1</v>
      </c>
      <c r="AA51" s="1">
        <f>SUM(表1[[#This Row],[冬训14]:[冬训22]])</f>
        <v>5</v>
      </c>
      <c r="AB51" s="1" t="str">
        <f>IF(表1[[#This Row],[晚训后九次积分]]&lt;3,"少于3分"," ")</f>
        <v xml:space="preserve"> </v>
      </c>
      <c r="AC51" s="1">
        <f t="shared" si="2"/>
        <v>6</v>
      </c>
      <c r="AD51" s="1"/>
      <c r="AE51" s="1">
        <v>2</v>
      </c>
      <c r="AF51" s="1"/>
      <c r="AG51" s="1">
        <v>1</v>
      </c>
      <c r="AH51" s="1">
        <f>SUM(表1[[#This Row],[大运河]:[大杨山]])</f>
        <v>3</v>
      </c>
      <c r="AI51" s="1">
        <f>表1[[#This Row],[总拉练]]*2+表1[[#This Row],[总训练]]</f>
        <v>12</v>
      </c>
    </row>
    <row r="52" spans="1:35" x14ac:dyDescent="0.3">
      <c r="A52" t="s">
        <v>10</v>
      </c>
      <c r="C52" s="1">
        <v>1</v>
      </c>
      <c r="D52" s="1">
        <v>0</v>
      </c>
      <c r="E52" s="1">
        <v>1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1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1</v>
      </c>
      <c r="V52" s="1"/>
      <c r="W52" s="1"/>
      <c r="X52" s="1">
        <v>1</v>
      </c>
      <c r="Y52" s="1"/>
      <c r="Z52" s="1">
        <v>1</v>
      </c>
      <c r="AA52" s="1">
        <f>SUM(表1[[#This Row],[冬训14]:[冬训22]])</f>
        <v>2</v>
      </c>
      <c r="AB52" s="1" t="str">
        <f>IF(表1[[#This Row],[晚训后九次积分]]&lt;3,"少于3分"," ")</f>
        <v>少于3分</v>
      </c>
      <c r="AC52" s="1">
        <f t="shared" si="2"/>
        <v>6</v>
      </c>
      <c r="AD52" s="1">
        <v>1</v>
      </c>
      <c r="AE52" s="1">
        <v>1</v>
      </c>
      <c r="AF52" s="1"/>
      <c r="AG52" s="1">
        <v>1</v>
      </c>
      <c r="AH52" s="1">
        <f>SUM(表1[[#This Row],[大运河]:[大杨山]])</f>
        <v>3</v>
      </c>
      <c r="AI52" s="1">
        <f>表1[[#This Row],[总拉练]]*2+表1[[#This Row],[总训练]]</f>
        <v>12</v>
      </c>
    </row>
    <row r="53" spans="1:35" x14ac:dyDescent="0.3">
      <c r="A53" t="s">
        <v>129</v>
      </c>
      <c r="C53" s="1">
        <v>0</v>
      </c>
      <c r="D53" s="1">
        <v>0</v>
      </c>
      <c r="E53" s="1">
        <v>1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1</v>
      </c>
      <c r="S53" s="1">
        <v>0</v>
      </c>
      <c r="T53" s="1">
        <v>0</v>
      </c>
      <c r="U53" s="1"/>
      <c r="V53" s="1"/>
      <c r="W53" s="1"/>
      <c r="X53" s="1">
        <v>1</v>
      </c>
      <c r="Y53" s="1">
        <v>1</v>
      </c>
      <c r="Z53" s="1"/>
      <c r="AA53" s="1">
        <f>SUM(表1[[#This Row],[冬训14]:[冬训22]])</f>
        <v>2</v>
      </c>
      <c r="AB53" s="1" t="str">
        <f>IF(表1[[#This Row],[晚训后九次积分]]&lt;3,"少于3分"," ")</f>
        <v>少于3分</v>
      </c>
      <c r="AC53" s="1">
        <f t="shared" si="2"/>
        <v>4</v>
      </c>
      <c r="AD53" s="1">
        <v>2</v>
      </c>
      <c r="AE53" s="1"/>
      <c r="AF53" s="1">
        <v>1</v>
      </c>
      <c r="AG53" s="1">
        <v>1</v>
      </c>
      <c r="AH53" s="1">
        <f>SUM(表1[[#This Row],[大运河]:[大杨山]])</f>
        <v>4</v>
      </c>
      <c r="AI53" s="1">
        <f>表1[[#This Row],[总拉练]]*2+表1[[#This Row],[总训练]]</f>
        <v>12</v>
      </c>
    </row>
    <row r="54" spans="1:35" x14ac:dyDescent="0.3">
      <c r="A54" t="s">
        <v>53</v>
      </c>
      <c r="C54" s="1">
        <v>1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1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/>
      <c r="V54" s="1"/>
      <c r="W54" s="1"/>
      <c r="X54" s="1"/>
      <c r="Y54" s="1"/>
      <c r="Z54" s="1"/>
      <c r="AA54" s="1">
        <f>SUM(表1[[#This Row],[冬训14]:[冬训22]])</f>
        <v>0</v>
      </c>
      <c r="AB54" s="1" t="str">
        <f>IF(表1[[#This Row],[晚训后九次积分]]&lt;3,"少于3分"," ")</f>
        <v>少于3分</v>
      </c>
      <c r="AC54" s="1">
        <f t="shared" si="2"/>
        <v>2</v>
      </c>
      <c r="AD54" s="1">
        <v>2</v>
      </c>
      <c r="AE54" s="1">
        <v>2</v>
      </c>
      <c r="AF54" s="1"/>
      <c r="AG54" s="1">
        <v>1</v>
      </c>
      <c r="AH54" s="1">
        <f>SUM(表1[[#This Row],[大运河]:[大杨山]])</f>
        <v>5</v>
      </c>
      <c r="AI54" s="1">
        <f>表1[[#This Row],[总拉练]]*2+表1[[#This Row],[总训练]]</f>
        <v>12</v>
      </c>
    </row>
    <row r="55" spans="1:35" x14ac:dyDescent="0.3">
      <c r="A55" t="s">
        <v>74</v>
      </c>
      <c r="C55" s="1">
        <v>1</v>
      </c>
      <c r="D55" s="1">
        <v>1</v>
      </c>
      <c r="E55" s="1">
        <v>1</v>
      </c>
      <c r="F55" s="1">
        <v>1</v>
      </c>
      <c r="G55" s="1">
        <v>0</v>
      </c>
      <c r="H55" s="1">
        <v>1</v>
      </c>
      <c r="I55" s="1">
        <v>0</v>
      </c>
      <c r="J55" s="1">
        <v>1</v>
      </c>
      <c r="K55" s="1">
        <v>0</v>
      </c>
      <c r="L55" s="1">
        <v>1</v>
      </c>
      <c r="M55" s="1">
        <v>0.5</v>
      </c>
      <c r="N55" s="1">
        <v>0</v>
      </c>
      <c r="O55" s="1">
        <v>1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/>
      <c r="V55" s="1">
        <v>1</v>
      </c>
      <c r="W55" s="1"/>
      <c r="X55" s="1"/>
      <c r="Y55" s="1"/>
      <c r="Z55" s="1"/>
      <c r="AA55" s="1">
        <f>SUM(表1[[#This Row],[冬训14]:[冬训22]])</f>
        <v>1</v>
      </c>
      <c r="AB55" s="1" t="str">
        <f>IF(表1[[#This Row],[晚训后九次积分]]&lt;3,"少于3分"," ")</f>
        <v>少于3分</v>
      </c>
      <c r="AC55" s="1">
        <f t="shared" si="2"/>
        <v>9.5</v>
      </c>
      <c r="AD55" s="1"/>
      <c r="AE55" s="1"/>
      <c r="AF55" s="1"/>
      <c r="AG55" s="1">
        <v>1</v>
      </c>
      <c r="AH55" s="1">
        <f>SUM(表1[[#This Row],[大运河]:[大杨山]])</f>
        <v>1</v>
      </c>
      <c r="AI55" s="1">
        <f>表1[[#This Row],[总拉练]]*2+表1[[#This Row],[总训练]]</f>
        <v>11.5</v>
      </c>
    </row>
    <row r="56" spans="1:35" x14ac:dyDescent="0.3">
      <c r="A56" t="s">
        <v>37</v>
      </c>
      <c r="C56" s="1">
        <v>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1</v>
      </c>
      <c r="J56" s="1">
        <v>1</v>
      </c>
      <c r="K56" s="1">
        <v>0</v>
      </c>
      <c r="L56" s="1">
        <v>0</v>
      </c>
      <c r="M56" s="1">
        <v>0</v>
      </c>
      <c r="N56" s="1">
        <v>0</v>
      </c>
      <c r="O56" s="1">
        <v>1</v>
      </c>
      <c r="P56" s="1">
        <v>0</v>
      </c>
      <c r="Q56" s="1">
        <v>0</v>
      </c>
      <c r="R56" s="1">
        <v>1</v>
      </c>
      <c r="S56" s="1">
        <v>0</v>
      </c>
      <c r="T56" s="1">
        <v>0</v>
      </c>
      <c r="U56" s="1"/>
      <c r="V56" s="1">
        <v>0.5</v>
      </c>
      <c r="W56" s="1"/>
      <c r="X56" s="1"/>
      <c r="Y56" s="1"/>
      <c r="Z56" s="1"/>
      <c r="AA56" s="1">
        <f>SUM(表1[[#This Row],[冬训14]:[冬训22]])</f>
        <v>1.5</v>
      </c>
      <c r="AB56" s="1" t="str">
        <f>IF(表1[[#This Row],[晚训后九次积分]]&lt;3,"少于3分"," ")</f>
        <v>少于3分</v>
      </c>
      <c r="AC56" s="1">
        <f t="shared" si="2"/>
        <v>5.5</v>
      </c>
      <c r="AD56" s="1"/>
      <c r="AE56" s="1">
        <v>1</v>
      </c>
      <c r="AF56" s="1"/>
      <c r="AG56" s="1">
        <v>2</v>
      </c>
      <c r="AH56" s="1">
        <f>SUM(表1[[#This Row],[大运河]:[大杨山]])</f>
        <v>3</v>
      </c>
      <c r="AI56" s="1">
        <f>表1[[#This Row],[总拉练]]*2+表1[[#This Row],[总训练]]</f>
        <v>11.5</v>
      </c>
    </row>
    <row r="57" spans="1:35" x14ac:dyDescent="0.3">
      <c r="A57" t="s">
        <v>85</v>
      </c>
      <c r="C57" s="1">
        <v>0</v>
      </c>
      <c r="D57" s="1">
        <v>1</v>
      </c>
      <c r="E57" s="1">
        <v>0</v>
      </c>
      <c r="F57" s="1">
        <v>1</v>
      </c>
      <c r="G57" s="1">
        <v>0</v>
      </c>
      <c r="H57" s="1">
        <v>1</v>
      </c>
      <c r="I57" s="1">
        <v>0</v>
      </c>
      <c r="J57" s="1">
        <v>0</v>
      </c>
      <c r="K57" s="1">
        <v>1</v>
      </c>
      <c r="L57" s="1">
        <v>0</v>
      </c>
      <c r="M57" s="1">
        <v>1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1</v>
      </c>
      <c r="T57" s="1">
        <v>0</v>
      </c>
      <c r="U57" s="1"/>
      <c r="V57" s="1"/>
      <c r="W57" s="1"/>
      <c r="X57" s="1"/>
      <c r="Y57" s="1"/>
      <c r="Z57" s="1"/>
      <c r="AA57" s="1">
        <f>SUM(表1[[#This Row],[冬训14]:[冬训22]])</f>
        <v>1</v>
      </c>
      <c r="AB57" s="1" t="str">
        <f>IF(表1[[#This Row],[晚训后九次积分]]&lt;3,"少于3分"," ")</f>
        <v>少于3分</v>
      </c>
      <c r="AC57" s="1">
        <f t="shared" si="2"/>
        <v>6</v>
      </c>
      <c r="AD57" s="1">
        <v>1</v>
      </c>
      <c r="AE57" s="1"/>
      <c r="AF57" s="1"/>
      <c r="AG57" s="1">
        <v>1</v>
      </c>
      <c r="AH57" s="1">
        <f>SUM(表1[[#This Row],[大运河]:[大杨山]])</f>
        <v>2</v>
      </c>
      <c r="AI57" s="1">
        <f>表1[[#This Row],[总拉练]]*2+表1[[#This Row],[总训练]]</f>
        <v>10</v>
      </c>
    </row>
    <row r="58" spans="1:35" x14ac:dyDescent="0.3">
      <c r="A58" t="s">
        <v>21</v>
      </c>
      <c r="C58" s="1">
        <v>1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1</v>
      </c>
      <c r="N58" s="1">
        <v>0</v>
      </c>
      <c r="O58" s="1">
        <v>0</v>
      </c>
      <c r="P58" s="1">
        <v>1</v>
      </c>
      <c r="Q58" s="1">
        <v>0</v>
      </c>
      <c r="R58" s="1">
        <v>0</v>
      </c>
      <c r="S58" s="1">
        <v>1</v>
      </c>
      <c r="T58" s="1">
        <v>0</v>
      </c>
      <c r="U58" s="1"/>
      <c r="V58" s="1"/>
      <c r="W58" s="1"/>
      <c r="X58" s="1"/>
      <c r="Y58" s="1"/>
      <c r="Z58" s="1"/>
      <c r="AA58" s="1">
        <f>SUM(表1[[#This Row],[冬训14]:[冬训22]])</f>
        <v>2</v>
      </c>
      <c r="AB58" s="1" t="str">
        <f>IF(表1[[#This Row],[晚训后九次积分]]&lt;3,"少于3分"," ")</f>
        <v>少于3分</v>
      </c>
      <c r="AC58" s="1">
        <f t="shared" si="2"/>
        <v>4</v>
      </c>
      <c r="AD58" s="1"/>
      <c r="AE58" s="1"/>
      <c r="AF58" s="1">
        <v>2</v>
      </c>
      <c r="AG58" s="1">
        <v>1</v>
      </c>
      <c r="AH58" s="1">
        <f>SUM(表1[[#This Row],[大运河]:[大杨山]])</f>
        <v>3</v>
      </c>
      <c r="AI58" s="1">
        <f>表1[[#This Row],[总拉练]]*2+表1[[#This Row],[总训练]]</f>
        <v>10</v>
      </c>
    </row>
    <row r="59" spans="1:35" x14ac:dyDescent="0.3">
      <c r="A59" t="s">
        <v>87</v>
      </c>
      <c r="C59" s="1">
        <v>1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0.5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1</v>
      </c>
      <c r="T59" s="1">
        <v>0</v>
      </c>
      <c r="U59" s="1"/>
      <c r="V59" s="1"/>
      <c r="W59" s="1"/>
      <c r="X59" s="1"/>
      <c r="Y59" s="1"/>
      <c r="Z59" s="1"/>
      <c r="AA59" s="1">
        <f>SUM(表1[[#This Row],[冬训14]:[冬训22]])</f>
        <v>1</v>
      </c>
      <c r="AB59" s="1" t="str">
        <f>IF(表1[[#This Row],[晚训后九次积分]]&lt;3,"少于3分"," ")</f>
        <v>少于3分</v>
      </c>
      <c r="AC59" s="1">
        <f t="shared" si="2"/>
        <v>7.5</v>
      </c>
      <c r="AD59" s="1"/>
      <c r="AE59" s="1"/>
      <c r="AF59" s="1"/>
      <c r="AG59" s="1">
        <v>1</v>
      </c>
      <c r="AH59" s="1">
        <f>SUM(表1[[#This Row],[大运河]:[大杨山]])</f>
        <v>1</v>
      </c>
      <c r="AI59" s="1">
        <f>表1[[#This Row],[总拉练]]*2+表1[[#This Row],[总训练]]</f>
        <v>9.5</v>
      </c>
    </row>
    <row r="60" spans="1:35" x14ac:dyDescent="0.3">
      <c r="A60" t="s">
        <v>12</v>
      </c>
      <c r="C60" s="1">
        <v>1</v>
      </c>
      <c r="D60" s="1">
        <v>1</v>
      </c>
      <c r="E60" s="1">
        <v>0</v>
      </c>
      <c r="F60" s="1">
        <v>1</v>
      </c>
      <c r="G60" s="1">
        <v>0</v>
      </c>
      <c r="H60" s="1">
        <v>0</v>
      </c>
      <c r="I60" s="1">
        <v>1</v>
      </c>
      <c r="J60" s="1">
        <v>0</v>
      </c>
      <c r="K60" s="1">
        <v>1</v>
      </c>
      <c r="L60" s="1">
        <v>0</v>
      </c>
      <c r="M60" s="1">
        <v>0</v>
      </c>
      <c r="N60" s="1">
        <v>1</v>
      </c>
      <c r="O60" s="1">
        <v>0</v>
      </c>
      <c r="P60" s="1">
        <v>1</v>
      </c>
      <c r="Q60" s="1">
        <v>0</v>
      </c>
      <c r="R60" s="1">
        <v>0</v>
      </c>
      <c r="S60" s="1">
        <v>0</v>
      </c>
      <c r="T60" s="1">
        <v>0</v>
      </c>
      <c r="U60" s="1"/>
      <c r="V60" s="1"/>
      <c r="W60" s="1"/>
      <c r="X60" s="1"/>
      <c r="Y60" s="1"/>
      <c r="Z60" s="1"/>
      <c r="AA60" s="1">
        <f>SUM(表1[[#This Row],[冬训14]:[冬训22]])</f>
        <v>1</v>
      </c>
      <c r="AB60" s="1" t="str">
        <f>IF(表1[[#This Row],[晚训后九次积分]]&lt;3,"少于3分"," ")</f>
        <v>少于3分</v>
      </c>
      <c r="AC60" s="1">
        <f t="shared" si="2"/>
        <v>7</v>
      </c>
      <c r="AD60" s="1"/>
      <c r="AE60" s="1"/>
      <c r="AF60" s="1"/>
      <c r="AG60" s="1">
        <v>1</v>
      </c>
      <c r="AH60" s="1">
        <f>SUM(表1[[#This Row],[大运河]:[大杨山]])</f>
        <v>1</v>
      </c>
      <c r="AI60" s="1">
        <f>表1[[#This Row],[总拉练]]*2+表1[[#This Row],[总训练]]</f>
        <v>9</v>
      </c>
    </row>
    <row r="61" spans="1:35" x14ac:dyDescent="0.3">
      <c r="A61" t="s">
        <v>90</v>
      </c>
      <c r="C61" s="1">
        <v>0</v>
      </c>
      <c r="D61" s="1">
        <v>0</v>
      </c>
      <c r="E61" s="1">
        <v>1</v>
      </c>
      <c r="F61" s="1">
        <v>0</v>
      </c>
      <c r="G61" s="1">
        <v>0</v>
      </c>
      <c r="H61" s="1">
        <v>0</v>
      </c>
      <c r="I61" s="1">
        <v>1</v>
      </c>
      <c r="J61" s="1">
        <v>0</v>
      </c>
      <c r="K61" s="1">
        <v>0</v>
      </c>
      <c r="L61" s="1">
        <v>0</v>
      </c>
      <c r="M61" s="1">
        <v>1</v>
      </c>
      <c r="N61" s="1">
        <v>0</v>
      </c>
      <c r="O61" s="1">
        <v>1</v>
      </c>
      <c r="P61" s="1">
        <v>0</v>
      </c>
      <c r="Q61" s="1">
        <v>0</v>
      </c>
      <c r="R61" s="1">
        <v>0</v>
      </c>
      <c r="S61" s="1">
        <v>1</v>
      </c>
      <c r="T61" s="1">
        <v>0</v>
      </c>
      <c r="U61" s="1"/>
      <c r="V61" s="1"/>
      <c r="W61" s="1"/>
      <c r="X61" s="1"/>
      <c r="Y61" s="1"/>
      <c r="Z61" s="1"/>
      <c r="AA61" s="1">
        <f>SUM(表1[[#This Row],[冬训14]:[冬训22]])</f>
        <v>1</v>
      </c>
      <c r="AB61" s="1" t="str">
        <f>IF(表1[[#This Row],[晚训后九次积分]]&lt;3,"少于3分"," ")</f>
        <v>少于3分</v>
      </c>
      <c r="AC61" s="1">
        <f t="shared" si="2"/>
        <v>5</v>
      </c>
      <c r="AD61" s="1"/>
      <c r="AE61" s="1">
        <v>1</v>
      </c>
      <c r="AF61" s="1"/>
      <c r="AG61" s="1">
        <v>1</v>
      </c>
      <c r="AH61" s="1">
        <f>SUM(表1[[#This Row],[大运河]:[大杨山]])</f>
        <v>2</v>
      </c>
      <c r="AI61" s="1">
        <f>表1[[#This Row],[总拉练]]*2+表1[[#This Row],[总训练]]</f>
        <v>9</v>
      </c>
    </row>
    <row r="62" spans="1:35" x14ac:dyDescent="0.3">
      <c r="A62" t="s">
        <v>33</v>
      </c>
      <c r="C62" s="1">
        <v>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1</v>
      </c>
      <c r="T62" s="1">
        <v>1</v>
      </c>
      <c r="U62" s="1">
        <v>1</v>
      </c>
      <c r="V62" s="1">
        <v>1</v>
      </c>
      <c r="W62" s="1"/>
      <c r="X62" s="1">
        <v>1</v>
      </c>
      <c r="Y62" s="1"/>
      <c r="Z62" s="1"/>
      <c r="AA62" s="1">
        <f>SUM(表1[[#This Row],[冬训14]:[冬训22]])</f>
        <v>5</v>
      </c>
      <c r="AB62" s="1" t="str">
        <f>IF(表1[[#This Row],[晚训后九次积分]]&lt;3,"少于3分"," ")</f>
        <v xml:space="preserve"> </v>
      </c>
      <c r="AC62" s="1">
        <f t="shared" si="2"/>
        <v>6</v>
      </c>
      <c r="AD62" s="1"/>
      <c r="AE62" s="1"/>
      <c r="AF62" s="1">
        <v>1</v>
      </c>
      <c r="AG62" s="1">
        <v>1</v>
      </c>
      <c r="AH62" s="1">
        <f>SUM(表1[[#This Row],[大运河]:[大杨山]])</f>
        <v>2</v>
      </c>
      <c r="AI62" s="1">
        <f>表1[[#This Row],[总拉练]]*2+表1[[#This Row],[总训练]]</f>
        <v>10</v>
      </c>
    </row>
    <row r="63" spans="1:35" x14ac:dyDescent="0.3">
      <c r="A63" t="s">
        <v>136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1</v>
      </c>
      <c r="K63" s="1">
        <v>0</v>
      </c>
      <c r="L63" s="1">
        <v>1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1</v>
      </c>
      <c r="S63" s="1">
        <v>0</v>
      </c>
      <c r="T63" s="1">
        <v>1</v>
      </c>
      <c r="U63" s="1"/>
      <c r="V63" s="1"/>
      <c r="W63" s="1"/>
      <c r="X63" s="1">
        <v>1</v>
      </c>
      <c r="Y63" s="1"/>
      <c r="Z63" s="1"/>
      <c r="AA63" s="1">
        <f>SUM(表1[[#This Row],[冬训14]:[冬训22]])</f>
        <v>3</v>
      </c>
      <c r="AB63" s="1" t="str">
        <f>IF(表1[[#This Row],[晚训后九次积分]]&lt;3,"少于3分"," ")</f>
        <v xml:space="preserve"> </v>
      </c>
      <c r="AC63" s="1">
        <f t="shared" si="2"/>
        <v>5</v>
      </c>
      <c r="AD63" s="1">
        <v>1</v>
      </c>
      <c r="AE63" s="1"/>
      <c r="AF63" s="1"/>
      <c r="AG63" s="1">
        <v>1</v>
      </c>
      <c r="AH63" s="1">
        <f>SUM(表1[[#This Row],[大运河]:[大杨山]])</f>
        <v>2</v>
      </c>
      <c r="AI63" s="1">
        <f>表1[[#This Row],[总拉练]]*2+表1[[#This Row],[总训练]]</f>
        <v>9</v>
      </c>
    </row>
    <row r="64" spans="1:35" x14ac:dyDescent="0.3">
      <c r="A64" t="s">
        <v>151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1</v>
      </c>
      <c r="T64" s="1">
        <v>0</v>
      </c>
      <c r="U64" s="1"/>
      <c r="V64" s="1"/>
      <c r="W64" s="1"/>
      <c r="X64" s="1"/>
      <c r="Y64" s="1"/>
      <c r="Z64" s="1"/>
      <c r="AA64" s="1">
        <f>SUM(表1[[#This Row],[冬训14]:[冬训22]])</f>
        <v>1</v>
      </c>
      <c r="AB64" s="1" t="str">
        <f>IF(表1[[#This Row],[晚训后九次积分]]&lt;3,"少于3分"," ")</f>
        <v>少于3分</v>
      </c>
      <c r="AC64" s="1">
        <f t="shared" si="2"/>
        <v>1</v>
      </c>
      <c r="AD64" s="1">
        <v>1</v>
      </c>
      <c r="AE64" s="1">
        <v>1</v>
      </c>
      <c r="AF64" s="1">
        <v>1</v>
      </c>
      <c r="AG64" s="1">
        <v>1</v>
      </c>
      <c r="AH64" s="1">
        <f>SUM(表1[[#This Row],[大运河]:[大杨山]])</f>
        <v>4</v>
      </c>
      <c r="AI64" s="1">
        <f>表1[[#This Row],[总拉练]]*2+表1[[#This Row],[总训练]]</f>
        <v>9</v>
      </c>
    </row>
    <row r="65" spans="1:35" x14ac:dyDescent="0.3">
      <c r="A65" t="s">
        <v>36</v>
      </c>
      <c r="C65" s="1">
        <v>1</v>
      </c>
      <c r="D65" s="1">
        <v>1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1</v>
      </c>
      <c r="K65" s="1">
        <v>0</v>
      </c>
      <c r="L65" s="1">
        <v>0</v>
      </c>
      <c r="M65" s="1">
        <v>0</v>
      </c>
      <c r="N65" s="1">
        <v>0</v>
      </c>
      <c r="O65" s="1">
        <v>1</v>
      </c>
      <c r="P65" s="1">
        <v>0</v>
      </c>
      <c r="Q65" s="1">
        <v>0</v>
      </c>
      <c r="R65" s="1">
        <v>1</v>
      </c>
      <c r="S65" s="1">
        <v>1</v>
      </c>
      <c r="T65" s="1">
        <v>0</v>
      </c>
      <c r="U65" s="1"/>
      <c r="V65" s="1"/>
      <c r="W65" s="1"/>
      <c r="X65" s="1"/>
      <c r="Y65" s="1"/>
      <c r="Z65" s="1"/>
      <c r="AA65" s="1">
        <f>SUM(表1[[#This Row],[冬训14]:[冬训22]])</f>
        <v>2</v>
      </c>
      <c r="AB65" s="1" t="str">
        <f>IF(表1[[#This Row],[晚训后九次积分]]&lt;3,"少于3分"," ")</f>
        <v>少于3分</v>
      </c>
      <c r="AC65" s="1">
        <f t="shared" si="2"/>
        <v>6</v>
      </c>
      <c r="AD65" s="1"/>
      <c r="AE65" s="1"/>
      <c r="AF65" s="1"/>
      <c r="AG65" s="1">
        <v>1</v>
      </c>
      <c r="AH65" s="1">
        <f>SUM(表1[[#This Row],[大运河]:[大杨山]])</f>
        <v>1</v>
      </c>
      <c r="AI65" s="1">
        <f>表1[[#This Row],[总拉练]]*2+表1[[#This Row],[总训练]]</f>
        <v>8</v>
      </c>
    </row>
    <row r="66" spans="1:35" x14ac:dyDescent="0.3">
      <c r="A66" t="s">
        <v>89</v>
      </c>
      <c r="C66" s="1">
        <v>0</v>
      </c>
      <c r="D66" s="1">
        <v>0</v>
      </c>
      <c r="E66" s="1">
        <v>0</v>
      </c>
      <c r="F66" s="1">
        <v>0</v>
      </c>
      <c r="G66" s="1">
        <v>1</v>
      </c>
      <c r="H66" s="1">
        <v>0</v>
      </c>
      <c r="I66" s="1">
        <v>1</v>
      </c>
      <c r="J66" s="1">
        <v>1</v>
      </c>
      <c r="K66" s="1">
        <v>0</v>
      </c>
      <c r="L66" s="1">
        <v>1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/>
      <c r="V66" s="1"/>
      <c r="W66" s="1"/>
      <c r="X66" s="1"/>
      <c r="Y66" s="1"/>
      <c r="Z66" s="1"/>
      <c r="AA66" s="1">
        <f>SUM(表1[[#This Row],[冬训14]:[冬训22]])</f>
        <v>0</v>
      </c>
      <c r="AB66" s="1" t="str">
        <f>IF(表1[[#This Row],[晚训后九次积分]]&lt;3,"少于3分"," ")</f>
        <v>少于3分</v>
      </c>
      <c r="AC66" s="1">
        <f t="shared" si="2"/>
        <v>4</v>
      </c>
      <c r="AD66" s="1">
        <v>1</v>
      </c>
      <c r="AE66" s="1"/>
      <c r="AF66" s="1"/>
      <c r="AG66" s="1">
        <v>1</v>
      </c>
      <c r="AH66" s="1">
        <f>SUM(表1[[#This Row],[大运河]:[大杨山]])</f>
        <v>2</v>
      </c>
      <c r="AI66" s="1">
        <f>表1[[#This Row],[总拉练]]*2+表1[[#This Row],[总训练]]</f>
        <v>8</v>
      </c>
    </row>
    <row r="67" spans="1:35" x14ac:dyDescent="0.3">
      <c r="A67" t="s">
        <v>109</v>
      </c>
      <c r="C67" s="1">
        <v>0</v>
      </c>
      <c r="D67" s="1">
        <v>0</v>
      </c>
      <c r="E67" s="1">
        <v>0</v>
      </c>
      <c r="F67" s="1">
        <v>1</v>
      </c>
      <c r="G67" s="1">
        <v>0</v>
      </c>
      <c r="H67" s="1">
        <v>0</v>
      </c>
      <c r="I67" s="1">
        <v>1</v>
      </c>
      <c r="J67" s="1">
        <v>0</v>
      </c>
      <c r="K67" s="1">
        <v>0</v>
      </c>
      <c r="L67" s="1">
        <v>1</v>
      </c>
      <c r="M67" s="1">
        <v>1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/>
      <c r="V67" s="1"/>
      <c r="W67" s="1"/>
      <c r="X67" s="1"/>
      <c r="Y67" s="1"/>
      <c r="Z67" s="1"/>
      <c r="AA67" s="1">
        <f>SUM(表1[[#This Row],[冬训14]:[冬训22]])</f>
        <v>0</v>
      </c>
      <c r="AB67" s="1" t="str">
        <f>IF(表1[[#This Row],[晚训后九次积分]]&lt;3,"少于3分"," ")</f>
        <v>少于3分</v>
      </c>
      <c r="AC67" s="1">
        <f t="shared" si="2"/>
        <v>4</v>
      </c>
      <c r="AD67" s="1">
        <v>1</v>
      </c>
      <c r="AE67" s="1"/>
      <c r="AF67" s="1"/>
      <c r="AG67" s="1">
        <v>1</v>
      </c>
      <c r="AH67" s="1">
        <f>SUM(表1[[#This Row],[大运河]:[大杨山]])</f>
        <v>2</v>
      </c>
      <c r="AI67" s="1">
        <f>表1[[#This Row],[总拉练]]*2+表1[[#This Row],[总训练]]</f>
        <v>8</v>
      </c>
    </row>
    <row r="68" spans="1:35" x14ac:dyDescent="0.3">
      <c r="A68" t="s">
        <v>51</v>
      </c>
      <c r="C68" s="1">
        <v>1</v>
      </c>
      <c r="D68" s="1">
        <v>0</v>
      </c>
      <c r="E68" s="1">
        <v>0</v>
      </c>
      <c r="F68" s="1">
        <v>1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1</v>
      </c>
      <c r="P68" s="1">
        <v>0</v>
      </c>
      <c r="Q68" s="1">
        <v>1</v>
      </c>
      <c r="R68" s="1">
        <v>0</v>
      </c>
      <c r="S68" s="1">
        <v>0</v>
      </c>
      <c r="T68" s="1">
        <v>0</v>
      </c>
      <c r="U68" s="1"/>
      <c r="V68" s="1"/>
      <c r="W68" s="1"/>
      <c r="X68" s="1"/>
      <c r="Y68" s="1"/>
      <c r="Z68" s="1"/>
      <c r="AA68" s="1">
        <f>SUM(表1[[#This Row],[冬训14]:[冬训22]])</f>
        <v>1</v>
      </c>
      <c r="AB68" s="1" t="str">
        <f>IF(表1[[#This Row],[晚训后九次积分]]&lt;3,"少于3分"," ")</f>
        <v>少于3分</v>
      </c>
      <c r="AC68" s="1">
        <f t="shared" si="2"/>
        <v>4</v>
      </c>
      <c r="AD68" s="1">
        <v>1</v>
      </c>
      <c r="AE68" s="1"/>
      <c r="AF68" s="1"/>
      <c r="AG68" s="1">
        <v>1</v>
      </c>
      <c r="AH68" s="1">
        <f>SUM(表1[[#This Row],[大运河]:[大杨山]])</f>
        <v>2</v>
      </c>
      <c r="AI68" s="1">
        <f>表1[[#This Row],[总拉练]]*2+表1[[#This Row],[总训练]]</f>
        <v>8</v>
      </c>
    </row>
    <row r="69" spans="1:35" x14ac:dyDescent="0.3">
      <c r="A69" t="s">
        <v>47</v>
      </c>
      <c r="C69" s="1">
        <v>1</v>
      </c>
      <c r="D69" s="1">
        <v>1</v>
      </c>
      <c r="E69" s="1">
        <v>0</v>
      </c>
      <c r="F69" s="1">
        <v>0</v>
      </c>
      <c r="G69" s="1">
        <v>0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/>
      <c r="V69" s="1"/>
      <c r="W69" s="1"/>
      <c r="X69" s="1"/>
      <c r="Y69" s="1">
        <v>1</v>
      </c>
      <c r="Z69" s="1"/>
      <c r="AA69" s="1">
        <f>SUM(表1[[#This Row],[冬训14]:[冬训22]])</f>
        <v>0</v>
      </c>
      <c r="AB69" s="1" t="str">
        <f>IF(表1[[#This Row],[晚训后九次积分]]&lt;3,"少于3分"," ")</f>
        <v>少于3分</v>
      </c>
      <c r="AC69" s="1">
        <f t="shared" si="2"/>
        <v>4</v>
      </c>
      <c r="AD69" s="1">
        <v>1</v>
      </c>
      <c r="AE69" s="1"/>
      <c r="AF69" s="1"/>
      <c r="AG69" s="1">
        <v>1</v>
      </c>
      <c r="AH69" s="1">
        <f>SUM(表1[[#This Row],[大运河]:[大杨山]])</f>
        <v>2</v>
      </c>
      <c r="AI69" s="1">
        <f>表1[[#This Row],[总拉练]]*2+表1[[#This Row],[总训练]]</f>
        <v>8</v>
      </c>
    </row>
    <row r="70" spans="1:35" x14ac:dyDescent="0.3">
      <c r="A70" t="s">
        <v>147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1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/>
      <c r="V70" s="1">
        <v>1</v>
      </c>
      <c r="W70" s="1"/>
      <c r="X70" s="1"/>
      <c r="Y70" s="1"/>
      <c r="Z70" s="1"/>
      <c r="AA70" s="1">
        <f>SUM(表1[[#This Row],[冬训14]:[冬训22]])</f>
        <v>1</v>
      </c>
      <c r="AB70" s="1" t="str">
        <f>IF(表1[[#This Row],[晚训后九次积分]]&lt;3,"少于3分"," ")</f>
        <v>少于3分</v>
      </c>
      <c r="AC70" s="1">
        <f t="shared" si="2"/>
        <v>2</v>
      </c>
      <c r="AD70" s="1"/>
      <c r="AE70" s="1">
        <v>2</v>
      </c>
      <c r="AF70" s="1"/>
      <c r="AG70" s="1">
        <v>1</v>
      </c>
      <c r="AH70" s="1">
        <f>SUM(表1[[#This Row],[大运河]:[大杨山]])</f>
        <v>3</v>
      </c>
      <c r="AI70" s="1">
        <f>表1[[#This Row],[总拉练]]*2+表1[[#This Row],[总训练]]</f>
        <v>8</v>
      </c>
    </row>
    <row r="71" spans="1:35" x14ac:dyDescent="0.3">
      <c r="A71" t="s">
        <v>124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/>
      <c r="V71" s="1"/>
      <c r="W71" s="1"/>
      <c r="X71" s="1"/>
      <c r="Y71" s="1"/>
      <c r="Z71" s="1"/>
      <c r="AA71" s="1">
        <f>SUM(表1[[#This Row],[冬训14]:[冬训22]])</f>
        <v>0</v>
      </c>
      <c r="AB71" s="1" t="str">
        <f>IF(表1[[#This Row],[晚训后九次积分]]&lt;3,"少于3分"," ")</f>
        <v>少于3分</v>
      </c>
      <c r="AC71" s="1"/>
      <c r="AD71" s="1">
        <v>1</v>
      </c>
      <c r="AE71" s="1"/>
      <c r="AF71" s="1">
        <v>2</v>
      </c>
      <c r="AG71" s="1">
        <v>1</v>
      </c>
      <c r="AH71" s="1">
        <f>SUM(表1[[#This Row],[大运河]:[大杨山]])</f>
        <v>4</v>
      </c>
      <c r="AI71" s="1">
        <f>表1[[#This Row],[总拉练]]*2+表1[[#This Row],[总训练]]</f>
        <v>8</v>
      </c>
    </row>
    <row r="72" spans="1:35" x14ac:dyDescent="0.3">
      <c r="A72" t="s">
        <v>159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>
        <f>SUM(表1[[#This Row],[冬训14]:[冬训22]])</f>
        <v>0</v>
      </c>
      <c r="AB72" s="1" t="str">
        <f>IF(表1[[#This Row],[晚训后九次积分]]&lt;3,"少于3分"," ")</f>
        <v>少于3分</v>
      </c>
      <c r="AC72" s="1"/>
      <c r="AD72" s="1">
        <v>1</v>
      </c>
      <c r="AE72" s="1">
        <v>2</v>
      </c>
      <c r="AF72" s="1"/>
      <c r="AG72" s="1">
        <v>1</v>
      </c>
      <c r="AH72" s="1">
        <f>SUM(表1[[#This Row],[大运河]:[大杨山]])</f>
        <v>4</v>
      </c>
      <c r="AI72" s="1">
        <f>表1[[#This Row],[总拉练]]*2+表1[[#This Row],[总训练]]</f>
        <v>8</v>
      </c>
    </row>
    <row r="73" spans="1:35" x14ac:dyDescent="0.3">
      <c r="A73" t="s">
        <v>164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>
        <f>SUM(表1[[#This Row],[冬训14]:[冬训22]])</f>
        <v>0</v>
      </c>
      <c r="AB73" s="1" t="str">
        <f>IF(表1[[#This Row],[晚训后九次积分]]&lt;3,"少于3分"," ")</f>
        <v>少于3分</v>
      </c>
      <c r="AC73" s="1"/>
      <c r="AD73" s="1">
        <v>1</v>
      </c>
      <c r="AE73" s="1">
        <v>1</v>
      </c>
      <c r="AF73" s="1">
        <v>1</v>
      </c>
      <c r="AG73" s="1">
        <v>1</v>
      </c>
      <c r="AH73" s="1">
        <f>SUM(表1[[#This Row],[大运河]:[大杨山]])</f>
        <v>4</v>
      </c>
      <c r="AI73" s="1">
        <f>表1[[#This Row],[总拉练]]*2+表1[[#This Row],[总训练]]</f>
        <v>8</v>
      </c>
    </row>
    <row r="74" spans="1:35" x14ac:dyDescent="0.3">
      <c r="A74" t="s">
        <v>106</v>
      </c>
      <c r="C74" s="1">
        <v>0</v>
      </c>
      <c r="D74" s="1">
        <v>1</v>
      </c>
      <c r="E74" s="1">
        <v>0</v>
      </c>
      <c r="F74" s="1">
        <v>0.5</v>
      </c>
      <c r="G74" s="1">
        <v>1</v>
      </c>
      <c r="H74" s="1">
        <v>1</v>
      </c>
      <c r="I74" s="1">
        <v>1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1</v>
      </c>
      <c r="U74" s="1"/>
      <c r="V74" s="1"/>
      <c r="W74" s="1"/>
      <c r="X74" s="1"/>
      <c r="Y74" s="1"/>
      <c r="Z74" s="1"/>
      <c r="AA74" s="1">
        <f>SUM(表1[[#This Row],[冬训14]:[冬训22]])</f>
        <v>1</v>
      </c>
      <c r="AB74" s="1" t="str">
        <f>IF(表1[[#This Row],[晚训后九次积分]]&lt;3,"少于3分"," ")</f>
        <v>少于3分</v>
      </c>
      <c r="AC74" s="1">
        <f t="shared" ref="AC74:AC92" si="3">SUM(C74:Z74)</f>
        <v>5.5</v>
      </c>
      <c r="AD74" s="1"/>
      <c r="AE74" s="1"/>
      <c r="AF74" s="1"/>
      <c r="AG74" s="1">
        <v>1</v>
      </c>
      <c r="AH74" s="1">
        <f>SUM(表1[[#This Row],[大运河]:[大杨山]])</f>
        <v>1</v>
      </c>
      <c r="AI74" s="1">
        <f>表1[[#This Row],[总拉练]]*2+表1[[#This Row],[总训练]]</f>
        <v>7.5</v>
      </c>
    </row>
    <row r="75" spans="1:35" x14ac:dyDescent="0.3">
      <c r="A75" t="s">
        <v>48</v>
      </c>
      <c r="C75" s="1">
        <v>1</v>
      </c>
      <c r="D75" s="1">
        <v>0</v>
      </c>
      <c r="E75" s="1">
        <v>0</v>
      </c>
      <c r="F75" s="1">
        <v>1</v>
      </c>
      <c r="G75" s="1">
        <v>0</v>
      </c>
      <c r="H75" s="1">
        <v>0</v>
      </c>
      <c r="I75" s="1">
        <v>1</v>
      </c>
      <c r="J75" s="1">
        <v>0</v>
      </c>
      <c r="K75" s="1">
        <v>1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1</v>
      </c>
      <c r="R75" s="1">
        <v>0</v>
      </c>
      <c r="S75" s="1">
        <v>0</v>
      </c>
      <c r="T75" s="1">
        <v>0</v>
      </c>
      <c r="U75" s="1"/>
      <c r="V75" s="1"/>
      <c r="W75" s="1"/>
      <c r="X75" s="1"/>
      <c r="Y75" s="1"/>
      <c r="Z75" s="1"/>
      <c r="AA75" s="1">
        <f>SUM(表1[[#This Row],[冬训14]:[冬训22]])</f>
        <v>1</v>
      </c>
      <c r="AB75" s="1" t="str">
        <f>IF(表1[[#This Row],[晚训后九次积分]]&lt;3,"少于3分"," ")</f>
        <v>少于3分</v>
      </c>
      <c r="AC75" s="1">
        <f t="shared" si="3"/>
        <v>5</v>
      </c>
      <c r="AD75" s="1"/>
      <c r="AE75" s="1"/>
      <c r="AF75" s="1"/>
      <c r="AG75" s="1">
        <v>1</v>
      </c>
      <c r="AH75" s="1">
        <f>SUM(表1[[#This Row],[大运河]:[大杨山]])</f>
        <v>1</v>
      </c>
      <c r="AI75" s="1">
        <f>表1[[#This Row],[总拉练]]*2+表1[[#This Row],[总训练]]</f>
        <v>7</v>
      </c>
    </row>
    <row r="76" spans="1:35" x14ac:dyDescent="0.3">
      <c r="A76" t="s">
        <v>95</v>
      </c>
      <c r="C76" s="1">
        <v>0</v>
      </c>
      <c r="D76" s="1">
        <v>0</v>
      </c>
      <c r="E76" s="1">
        <v>1</v>
      </c>
      <c r="F76" s="1">
        <v>1</v>
      </c>
      <c r="G76" s="1">
        <v>0</v>
      </c>
      <c r="H76" s="1">
        <v>1</v>
      </c>
      <c r="I76" s="1">
        <v>1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1</v>
      </c>
      <c r="S76" s="1">
        <v>0</v>
      </c>
      <c r="T76" s="1">
        <v>0</v>
      </c>
      <c r="U76" s="1"/>
      <c r="V76" s="1"/>
      <c r="W76" s="1"/>
      <c r="X76" s="1"/>
      <c r="Y76" s="1"/>
      <c r="Z76" s="1"/>
      <c r="AA76" s="1">
        <f>SUM(表1[[#This Row],[冬训14]:[冬训22]])</f>
        <v>1</v>
      </c>
      <c r="AB76" s="1" t="str">
        <f>IF(表1[[#This Row],[晚训后九次积分]]&lt;3,"少于3分"," ")</f>
        <v>少于3分</v>
      </c>
      <c r="AC76" s="1">
        <f t="shared" si="3"/>
        <v>5</v>
      </c>
      <c r="AD76" s="1"/>
      <c r="AE76" s="1"/>
      <c r="AF76" s="1"/>
      <c r="AG76" s="1">
        <v>1</v>
      </c>
      <c r="AH76" s="1">
        <f>SUM(表1[[#This Row],[大运河]:[大杨山]])</f>
        <v>1</v>
      </c>
      <c r="AI76" s="1">
        <f>表1[[#This Row],[总拉练]]*2+表1[[#This Row],[总训练]]</f>
        <v>7</v>
      </c>
    </row>
    <row r="77" spans="1:35" x14ac:dyDescent="0.3">
      <c r="A77" t="s">
        <v>1</v>
      </c>
      <c r="C77" s="1">
        <v>1</v>
      </c>
      <c r="D77" s="1">
        <v>0</v>
      </c>
      <c r="E77" s="1">
        <v>0</v>
      </c>
      <c r="F77" s="1">
        <v>1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1</v>
      </c>
      <c r="M77" s="1">
        <v>0</v>
      </c>
      <c r="N77" s="1">
        <v>1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1</v>
      </c>
      <c r="V77" s="1"/>
      <c r="W77" s="1"/>
      <c r="X77" s="1"/>
      <c r="Y77" s="1"/>
      <c r="Z77" s="1"/>
      <c r="AA77" s="1">
        <f>SUM(表1[[#This Row],[冬训14]:[冬训22]])</f>
        <v>1</v>
      </c>
      <c r="AB77" s="1" t="str">
        <f>IF(表1[[#This Row],[晚训后九次积分]]&lt;3,"少于3分"," ")</f>
        <v>少于3分</v>
      </c>
      <c r="AC77" s="1">
        <f t="shared" si="3"/>
        <v>5</v>
      </c>
      <c r="AD77" s="1"/>
      <c r="AE77" s="1"/>
      <c r="AF77" s="1"/>
      <c r="AG77" s="1">
        <v>1</v>
      </c>
      <c r="AH77" s="1">
        <f>SUM(表1[[#This Row],[大运河]:[大杨山]])</f>
        <v>1</v>
      </c>
      <c r="AI77" s="1">
        <f>表1[[#This Row],[总拉练]]*2+表1[[#This Row],[总训练]]</f>
        <v>7</v>
      </c>
    </row>
    <row r="78" spans="1:35" x14ac:dyDescent="0.3">
      <c r="A78" t="s">
        <v>83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1</v>
      </c>
      <c r="I78" s="1">
        <v>0</v>
      </c>
      <c r="J78" s="1">
        <v>0</v>
      </c>
      <c r="K78" s="1">
        <v>1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1</v>
      </c>
      <c r="V78" s="1"/>
      <c r="W78" s="1">
        <v>1</v>
      </c>
      <c r="X78" s="1">
        <v>1</v>
      </c>
      <c r="Y78" s="1"/>
      <c r="Z78" s="1"/>
      <c r="AA78" s="1">
        <f>SUM(表1[[#This Row],[冬训14]:[冬训22]])</f>
        <v>3</v>
      </c>
      <c r="AB78" s="1" t="str">
        <f>IF(表1[[#This Row],[晚训后九次积分]]&lt;3,"少于3分"," ")</f>
        <v xml:space="preserve"> </v>
      </c>
      <c r="AC78" s="1">
        <f t="shared" si="3"/>
        <v>5</v>
      </c>
      <c r="AD78" s="1"/>
      <c r="AE78" s="1"/>
      <c r="AF78" s="1"/>
      <c r="AG78" s="1">
        <v>1</v>
      </c>
      <c r="AH78" s="1">
        <f>SUM(表1[[#This Row],[大运河]:[大杨山]])</f>
        <v>1</v>
      </c>
      <c r="AI78" s="1">
        <f>表1[[#This Row],[总拉练]]*2+表1[[#This Row],[总训练]]</f>
        <v>7</v>
      </c>
    </row>
    <row r="79" spans="1:35" x14ac:dyDescent="0.3">
      <c r="A79" t="s">
        <v>54</v>
      </c>
      <c r="C79" s="1">
        <v>1</v>
      </c>
      <c r="D79" s="1">
        <v>1</v>
      </c>
      <c r="E79" s="1">
        <v>0</v>
      </c>
      <c r="F79" s="1">
        <v>0</v>
      </c>
      <c r="G79" s="1">
        <v>0</v>
      </c>
      <c r="H79" s="1">
        <v>0</v>
      </c>
      <c r="I79" s="1">
        <v>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/>
      <c r="V79" s="1"/>
      <c r="W79" s="1"/>
      <c r="X79" s="1"/>
      <c r="Y79" s="1"/>
      <c r="Z79" s="1"/>
      <c r="AA79" s="1">
        <f>SUM(表1[[#This Row],[冬训14]:[冬训22]])</f>
        <v>0</v>
      </c>
      <c r="AB79" s="1" t="str">
        <f>IF(表1[[#This Row],[晚训后九次积分]]&lt;3,"少于3分"," ")</f>
        <v>少于3分</v>
      </c>
      <c r="AC79" s="1">
        <f t="shared" si="3"/>
        <v>3</v>
      </c>
      <c r="AD79" s="1">
        <v>1</v>
      </c>
      <c r="AE79" s="1"/>
      <c r="AF79" s="1"/>
      <c r="AG79" s="1">
        <v>1</v>
      </c>
      <c r="AH79" s="1">
        <f>SUM(表1[[#This Row],[大运河]:[大杨山]])</f>
        <v>2</v>
      </c>
      <c r="AI79" s="1">
        <f>表1[[#This Row],[总拉练]]*2+表1[[#This Row],[总训练]]</f>
        <v>7</v>
      </c>
    </row>
    <row r="80" spans="1:35" x14ac:dyDescent="0.3">
      <c r="A80" t="s">
        <v>23</v>
      </c>
      <c r="C80" s="1">
        <v>1</v>
      </c>
      <c r="D80" s="1">
        <v>0</v>
      </c>
      <c r="E80" s="1">
        <v>0</v>
      </c>
      <c r="F80" s="1">
        <v>1</v>
      </c>
      <c r="G80" s="1">
        <v>0</v>
      </c>
      <c r="H80" s="1">
        <v>0</v>
      </c>
      <c r="I80" s="1">
        <v>1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/>
      <c r="V80" s="1"/>
      <c r="W80" s="1"/>
      <c r="X80" s="1"/>
      <c r="Y80" s="1"/>
      <c r="Z80" s="1"/>
      <c r="AA80" s="1">
        <f>SUM(表1[[#This Row],[冬训14]:[冬训22]])</f>
        <v>0</v>
      </c>
      <c r="AB80" s="1" t="str">
        <f>IF(表1[[#This Row],[晚训后九次积分]]&lt;3,"少于3分"," ")</f>
        <v>少于3分</v>
      </c>
      <c r="AC80" s="1">
        <f t="shared" si="3"/>
        <v>3</v>
      </c>
      <c r="AD80" s="1"/>
      <c r="AE80" s="1">
        <v>1</v>
      </c>
      <c r="AF80" s="1"/>
      <c r="AG80" s="1">
        <v>1</v>
      </c>
      <c r="AH80" s="1">
        <f>SUM(表1[[#This Row],[大运河]:[大杨山]])</f>
        <v>2</v>
      </c>
      <c r="AI80" s="1">
        <f>表1[[#This Row],[总拉练]]*2+表1[[#This Row],[总训练]]</f>
        <v>7</v>
      </c>
    </row>
    <row r="81" spans="1:35" x14ac:dyDescent="0.3">
      <c r="A81" t="s">
        <v>119</v>
      </c>
      <c r="C81" s="1">
        <v>0</v>
      </c>
      <c r="D81" s="1">
        <v>0</v>
      </c>
      <c r="E81" s="1">
        <v>0</v>
      </c>
      <c r="F81" s="1">
        <v>0.5</v>
      </c>
      <c r="G81" s="1">
        <v>0</v>
      </c>
      <c r="H81" s="1">
        <v>0</v>
      </c>
      <c r="I81" s="1">
        <v>0.5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/>
      <c r="V81" s="1"/>
      <c r="W81" s="1"/>
      <c r="X81" s="1"/>
      <c r="Y81" s="1">
        <v>1</v>
      </c>
      <c r="Z81" s="1">
        <v>1</v>
      </c>
      <c r="AA81" s="1">
        <f>SUM(表1[[#This Row],[冬训14]:[冬训22]])</f>
        <v>0</v>
      </c>
      <c r="AB81" s="1" t="str">
        <f>IF(表1[[#This Row],[晚训后九次积分]]&lt;3,"少于3分"," ")</f>
        <v>少于3分</v>
      </c>
      <c r="AC81" s="1">
        <f t="shared" si="3"/>
        <v>3</v>
      </c>
      <c r="AD81" s="1"/>
      <c r="AE81" s="1">
        <v>1</v>
      </c>
      <c r="AF81" s="1"/>
      <c r="AG81" s="1">
        <v>1</v>
      </c>
      <c r="AH81" s="1">
        <f>SUM(表1[[#This Row],[大运河]:[大杨山]])</f>
        <v>2</v>
      </c>
      <c r="AI81" s="1">
        <f>表1[[#This Row],[总拉练]]*2+表1[[#This Row],[总训练]]</f>
        <v>7</v>
      </c>
    </row>
    <row r="82" spans="1:35" x14ac:dyDescent="0.3">
      <c r="A82" t="s">
        <v>195</v>
      </c>
      <c r="L82" s="1"/>
      <c r="M82" s="1">
        <v>0</v>
      </c>
      <c r="N82" s="1">
        <v>0</v>
      </c>
      <c r="O82" s="1">
        <v>0</v>
      </c>
      <c r="P82" s="1"/>
      <c r="Q82" s="1">
        <v>0</v>
      </c>
      <c r="R82" s="1">
        <v>0</v>
      </c>
      <c r="S82" s="1">
        <v>0</v>
      </c>
      <c r="T82" s="1">
        <v>1</v>
      </c>
      <c r="U82" s="1">
        <v>1</v>
      </c>
      <c r="V82" s="1">
        <v>1</v>
      </c>
      <c r="W82" s="1"/>
      <c r="X82" s="1"/>
      <c r="Y82" s="1"/>
      <c r="Z82" s="1"/>
      <c r="AA82" s="1">
        <f>SUM(表1[[#This Row],[冬训14]:[冬训22]])</f>
        <v>3</v>
      </c>
      <c r="AB82" s="1" t="str">
        <f>IF(表1[[#This Row],[晚训后九次积分]]&lt;3,"少于3分"," ")</f>
        <v xml:space="preserve"> </v>
      </c>
      <c r="AC82" s="1">
        <f t="shared" si="3"/>
        <v>3</v>
      </c>
      <c r="AD82" s="1">
        <v>1</v>
      </c>
      <c r="AE82" s="1"/>
      <c r="AF82" s="1"/>
      <c r="AG82" s="1">
        <v>1</v>
      </c>
      <c r="AH82" s="1">
        <f>SUM(表1[[#This Row],[大运河]:[大杨山]])</f>
        <v>2</v>
      </c>
      <c r="AI82" s="1">
        <f>表1[[#This Row],[总拉练]]*2+表1[[#This Row],[总训练]]</f>
        <v>7</v>
      </c>
    </row>
    <row r="83" spans="1:35" x14ac:dyDescent="0.3">
      <c r="A83" t="s">
        <v>9</v>
      </c>
      <c r="C83" s="1">
        <v>1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1</v>
      </c>
      <c r="S83" s="1">
        <v>0</v>
      </c>
      <c r="T83" s="1">
        <v>0</v>
      </c>
      <c r="U83" s="1"/>
      <c r="V83" s="1"/>
      <c r="W83" s="1"/>
      <c r="X83" s="1">
        <v>1</v>
      </c>
      <c r="Y83" s="1"/>
      <c r="Z83" s="1"/>
      <c r="AA83" s="1">
        <f>SUM(表1[[#This Row],[冬训14]:[冬训22]])</f>
        <v>2</v>
      </c>
      <c r="AB83" s="1" t="str">
        <f>IF(表1[[#This Row],[晚训后九次积分]]&lt;3,"少于3分"," ")</f>
        <v>少于3分</v>
      </c>
      <c r="AC83" s="1">
        <f t="shared" si="3"/>
        <v>3</v>
      </c>
      <c r="AD83" s="1">
        <v>1</v>
      </c>
      <c r="AE83" s="1"/>
      <c r="AF83" s="1"/>
      <c r="AG83" s="1">
        <v>1</v>
      </c>
      <c r="AH83" s="1">
        <f>SUM(表1[[#This Row],[大运河]:[大杨山]])</f>
        <v>2</v>
      </c>
      <c r="AI83" s="1">
        <f>表1[[#This Row],[总拉练]]*2+表1[[#This Row],[总训练]]</f>
        <v>7</v>
      </c>
    </row>
    <row r="84" spans="1:35" x14ac:dyDescent="0.3">
      <c r="A84" t="s">
        <v>14</v>
      </c>
      <c r="C84" s="1">
        <v>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/>
      <c r="V84" s="1"/>
      <c r="W84" s="1"/>
      <c r="X84" s="1"/>
      <c r="Y84" s="1"/>
      <c r="Z84" s="1"/>
      <c r="AA84" s="1">
        <f>SUM(表1[[#This Row],[冬训14]:[冬训22]])</f>
        <v>0</v>
      </c>
      <c r="AB84" s="1" t="str">
        <f>IF(表1[[#This Row],[晚训后九次积分]]&lt;3,"少于3分"," ")</f>
        <v>少于3分</v>
      </c>
      <c r="AC84" s="1">
        <f t="shared" si="3"/>
        <v>1</v>
      </c>
      <c r="AD84" s="1"/>
      <c r="AE84" s="1">
        <v>2</v>
      </c>
      <c r="AF84" s="1"/>
      <c r="AG84" s="1">
        <v>1</v>
      </c>
      <c r="AH84" s="1">
        <f>SUM(表1[[#This Row],[大运河]:[大杨山]])</f>
        <v>3</v>
      </c>
      <c r="AI84" s="1">
        <f>表1[[#This Row],[总拉练]]*2+表1[[#This Row],[总训练]]</f>
        <v>7</v>
      </c>
    </row>
    <row r="85" spans="1:35" x14ac:dyDescent="0.3">
      <c r="A85" t="s">
        <v>181</v>
      </c>
      <c r="C85" s="1">
        <v>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/>
      <c r="V85" s="1"/>
      <c r="W85" s="1"/>
      <c r="X85" s="1"/>
      <c r="Y85" s="1"/>
      <c r="Z85" s="1"/>
      <c r="AA85" s="1">
        <f>SUM(表1[[#This Row],[冬训14]:[冬训22]])</f>
        <v>0</v>
      </c>
      <c r="AB85" s="1" t="str">
        <f>IF(表1[[#This Row],[晚训后九次积分]]&lt;3,"少于3分"," ")</f>
        <v>少于3分</v>
      </c>
      <c r="AC85" s="1">
        <f t="shared" si="3"/>
        <v>1</v>
      </c>
      <c r="AD85" s="1">
        <v>1</v>
      </c>
      <c r="AE85" s="1">
        <v>1</v>
      </c>
      <c r="AF85" s="1"/>
      <c r="AG85" s="1">
        <v>1</v>
      </c>
      <c r="AH85" s="1">
        <f>SUM(表1[[#This Row],[大运河]:[大杨山]])</f>
        <v>3</v>
      </c>
      <c r="AI85" s="1">
        <f>表1[[#This Row],[总拉练]]*2+表1[[#This Row],[总训练]]</f>
        <v>7</v>
      </c>
    </row>
    <row r="86" spans="1:35" x14ac:dyDescent="0.3">
      <c r="A86" t="s">
        <v>59</v>
      </c>
      <c r="C86" s="1">
        <v>1</v>
      </c>
      <c r="D86" s="1">
        <v>1</v>
      </c>
      <c r="E86" s="1">
        <v>1</v>
      </c>
      <c r="F86" s="1">
        <v>1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/>
      <c r="V86" s="1"/>
      <c r="W86" s="1"/>
      <c r="X86" s="1"/>
      <c r="Y86" s="1"/>
      <c r="Z86" s="1"/>
      <c r="AA86" s="1">
        <f>SUM(表1[[#This Row],[冬训14]:[冬训22]])</f>
        <v>0</v>
      </c>
      <c r="AB86" s="1" t="str">
        <f>IF(表1[[#This Row],[晚训后九次积分]]&lt;3,"少于3分"," ")</f>
        <v>少于3分</v>
      </c>
      <c r="AC86" s="1">
        <f t="shared" si="3"/>
        <v>4</v>
      </c>
      <c r="AD86" s="1"/>
      <c r="AE86" s="1"/>
      <c r="AF86" s="1"/>
      <c r="AG86" s="1">
        <v>1</v>
      </c>
      <c r="AH86" s="1">
        <f>SUM(表1[[#This Row],[大运河]:[大杨山]])</f>
        <v>1</v>
      </c>
      <c r="AI86" s="1">
        <f>表1[[#This Row],[总拉练]]*2+表1[[#This Row],[总训练]]</f>
        <v>6</v>
      </c>
    </row>
    <row r="87" spans="1:35" x14ac:dyDescent="0.3">
      <c r="A87" t="s">
        <v>60</v>
      </c>
      <c r="C87" s="1">
        <v>1</v>
      </c>
      <c r="D87" s="1">
        <v>0</v>
      </c>
      <c r="E87" s="1">
        <v>1</v>
      </c>
      <c r="F87" s="1">
        <v>0</v>
      </c>
      <c r="G87" s="1">
        <v>0</v>
      </c>
      <c r="H87" s="1">
        <v>0</v>
      </c>
      <c r="I87" s="1">
        <v>1</v>
      </c>
      <c r="J87" s="1">
        <v>0</v>
      </c>
      <c r="K87" s="1">
        <v>0</v>
      </c>
      <c r="L87" s="1">
        <v>1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/>
      <c r="V87" s="1"/>
      <c r="W87" s="1"/>
      <c r="X87" s="1"/>
      <c r="Y87" s="1"/>
      <c r="Z87" s="1"/>
      <c r="AA87" s="1">
        <f>SUM(表1[[#This Row],[冬训14]:[冬训22]])</f>
        <v>0</v>
      </c>
      <c r="AB87" s="1" t="str">
        <f>IF(表1[[#This Row],[晚训后九次积分]]&lt;3,"少于3分"," ")</f>
        <v>少于3分</v>
      </c>
      <c r="AC87" s="1">
        <f t="shared" si="3"/>
        <v>4</v>
      </c>
      <c r="AD87" s="1"/>
      <c r="AE87" s="1"/>
      <c r="AF87" s="1"/>
      <c r="AG87" s="1">
        <v>1</v>
      </c>
      <c r="AH87" s="1">
        <f>SUM(表1[[#This Row],[大运河]:[大杨山]])</f>
        <v>1</v>
      </c>
      <c r="AI87" s="1">
        <f>表1[[#This Row],[总拉练]]*2+表1[[#This Row],[总训练]]</f>
        <v>6</v>
      </c>
    </row>
    <row r="88" spans="1:35" x14ac:dyDescent="0.3">
      <c r="A88" t="s">
        <v>61</v>
      </c>
      <c r="C88" s="1">
        <v>1</v>
      </c>
      <c r="D88" s="1">
        <v>0</v>
      </c>
      <c r="E88" s="1">
        <v>1</v>
      </c>
      <c r="F88" s="1">
        <v>1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1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/>
      <c r="V88" s="1"/>
      <c r="W88" s="1"/>
      <c r="X88" s="1"/>
      <c r="Y88" s="1"/>
      <c r="Z88" s="1"/>
      <c r="AA88" s="1">
        <f>SUM(表1[[#This Row],[冬训14]:[冬训22]])</f>
        <v>0</v>
      </c>
      <c r="AB88" s="1" t="str">
        <f>IF(表1[[#This Row],[晚训后九次积分]]&lt;3,"少于3分"," ")</f>
        <v>少于3分</v>
      </c>
      <c r="AC88" s="1">
        <f t="shared" si="3"/>
        <v>4</v>
      </c>
      <c r="AD88" s="1"/>
      <c r="AE88" s="1"/>
      <c r="AF88" s="1"/>
      <c r="AG88" s="1">
        <v>1</v>
      </c>
      <c r="AH88" s="1">
        <f>SUM(表1[[#This Row],[大运河]:[大杨山]])</f>
        <v>1</v>
      </c>
      <c r="AI88" s="1">
        <f>表1[[#This Row],[总拉练]]*2+表1[[#This Row],[总训练]]</f>
        <v>6</v>
      </c>
    </row>
    <row r="89" spans="1:35" x14ac:dyDescent="0.3">
      <c r="A89" t="s">
        <v>99</v>
      </c>
      <c r="C89" s="1">
        <v>0</v>
      </c>
      <c r="D89" s="1">
        <v>0</v>
      </c>
      <c r="E89" s="1">
        <v>0</v>
      </c>
      <c r="F89" s="1">
        <v>1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1</v>
      </c>
      <c r="P89" s="1">
        <v>0</v>
      </c>
      <c r="Q89" s="1">
        <v>0</v>
      </c>
      <c r="R89" s="1">
        <v>0</v>
      </c>
      <c r="S89" s="1">
        <v>1</v>
      </c>
      <c r="T89" s="1">
        <v>0</v>
      </c>
      <c r="U89" s="1"/>
      <c r="V89" s="1"/>
      <c r="W89" s="1"/>
      <c r="X89" s="1"/>
      <c r="Y89" s="1"/>
      <c r="Z89" s="1">
        <v>1</v>
      </c>
      <c r="AA89" s="1">
        <f>SUM(表1[[#This Row],[冬训14]:[冬训22]])</f>
        <v>1</v>
      </c>
      <c r="AB89" s="1" t="str">
        <f>IF(表1[[#This Row],[晚训后九次积分]]&lt;3,"少于3分"," ")</f>
        <v>少于3分</v>
      </c>
      <c r="AC89" s="1">
        <f t="shared" si="3"/>
        <v>4</v>
      </c>
      <c r="AD89" s="1"/>
      <c r="AE89" s="1"/>
      <c r="AF89" s="1"/>
      <c r="AG89" s="1">
        <v>1</v>
      </c>
      <c r="AH89" s="1">
        <f>SUM(表1[[#This Row],[大运河]:[大杨山]])</f>
        <v>1</v>
      </c>
      <c r="AI89" s="1">
        <f>表1[[#This Row],[总拉练]]*2+表1[[#This Row],[总训练]]</f>
        <v>6</v>
      </c>
    </row>
    <row r="90" spans="1:35" x14ac:dyDescent="0.3">
      <c r="A90" s="3" t="s">
        <v>101</v>
      </c>
      <c r="C90" s="5">
        <v>0</v>
      </c>
      <c r="D90" s="5">
        <v>0</v>
      </c>
      <c r="E90" s="5">
        <v>0</v>
      </c>
      <c r="F90" s="5">
        <v>1</v>
      </c>
      <c r="G90" s="5">
        <v>0</v>
      </c>
      <c r="H90" s="5">
        <v>1</v>
      </c>
      <c r="I90" s="5">
        <v>0</v>
      </c>
      <c r="J90" s="5">
        <v>0</v>
      </c>
      <c r="K90" s="5">
        <v>0</v>
      </c>
      <c r="L90" s="5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/>
      <c r="V90" s="1"/>
      <c r="W90" s="1"/>
      <c r="X90" s="1"/>
      <c r="Y90" s="1"/>
      <c r="Z90" s="1"/>
      <c r="AA90" s="1">
        <f>SUM(表1[[#This Row],[冬训14]:[冬训22]])</f>
        <v>0</v>
      </c>
      <c r="AB90" s="1" t="str">
        <f>IF(表1[[#This Row],[晚训后九次积分]]&lt;3,"少于3分"," ")</f>
        <v>少于3分</v>
      </c>
      <c r="AC90" s="1">
        <f t="shared" si="3"/>
        <v>2</v>
      </c>
      <c r="AD90" s="1">
        <v>1</v>
      </c>
      <c r="AE90" s="1"/>
      <c r="AF90" s="1"/>
      <c r="AG90" s="1">
        <v>1</v>
      </c>
      <c r="AH90" s="1">
        <f>SUM(表1[[#This Row],[大运河]:[大杨山]])</f>
        <v>2</v>
      </c>
      <c r="AI90" s="1">
        <f>表1[[#This Row],[总拉练]]*2+表1[[#This Row],[总训练]]</f>
        <v>6</v>
      </c>
    </row>
    <row r="91" spans="1:35" x14ac:dyDescent="0.3">
      <c r="A91" t="s">
        <v>107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1</v>
      </c>
      <c r="I91" s="1">
        <v>0</v>
      </c>
      <c r="J91" s="1">
        <v>1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/>
      <c r="V91" s="1"/>
      <c r="W91" s="1"/>
      <c r="X91" s="1"/>
      <c r="Y91" s="1"/>
      <c r="Z91" s="1"/>
      <c r="AA91" s="1">
        <f>SUM(表1[[#This Row],[冬训14]:[冬训22]])</f>
        <v>0</v>
      </c>
      <c r="AB91" s="1" t="str">
        <f>IF(表1[[#This Row],[晚训后九次积分]]&lt;3,"少于3分"," ")</f>
        <v>少于3分</v>
      </c>
      <c r="AC91" s="1">
        <f t="shared" si="3"/>
        <v>2</v>
      </c>
      <c r="AD91" s="1"/>
      <c r="AE91" s="1">
        <v>1</v>
      </c>
      <c r="AF91" s="1"/>
      <c r="AG91" s="1">
        <v>1</v>
      </c>
      <c r="AH91" s="1">
        <f>SUM(表1[[#This Row],[大运河]:[大杨山]])</f>
        <v>2</v>
      </c>
      <c r="AI91" s="1">
        <f>表1[[#This Row],[总拉练]]*2+表1[[#This Row],[总训练]]</f>
        <v>6</v>
      </c>
    </row>
    <row r="92" spans="1:35" x14ac:dyDescent="0.3">
      <c r="A92" t="s">
        <v>52</v>
      </c>
      <c r="C92" s="1">
        <v>1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1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/>
      <c r="V92" s="1"/>
      <c r="W92" s="1"/>
      <c r="X92" s="1"/>
      <c r="Y92" s="1"/>
      <c r="Z92" s="1"/>
      <c r="AA92" s="1">
        <f>SUM(表1[[#This Row],[冬训14]:[冬训22]])</f>
        <v>0</v>
      </c>
      <c r="AB92" s="1" t="str">
        <f>IF(表1[[#This Row],[晚训后九次积分]]&lt;3,"少于3分"," ")</f>
        <v>少于3分</v>
      </c>
      <c r="AC92" s="1">
        <f t="shared" si="3"/>
        <v>2</v>
      </c>
      <c r="AD92" s="1"/>
      <c r="AE92" s="1"/>
      <c r="AF92" s="1">
        <v>1</v>
      </c>
      <c r="AG92" s="1">
        <v>1</v>
      </c>
      <c r="AH92" s="1">
        <f>SUM(表1[[#This Row],[大运河]:[大杨山]])</f>
        <v>2</v>
      </c>
      <c r="AI92" s="1">
        <f>表1[[#This Row],[总拉练]]*2+表1[[#This Row],[总训练]]</f>
        <v>6</v>
      </c>
    </row>
    <row r="93" spans="1:35" x14ac:dyDescent="0.3">
      <c r="A93" s="6" t="s">
        <v>156</v>
      </c>
      <c r="L93" s="1"/>
      <c r="M93" s="1"/>
      <c r="N93" s="1">
        <f t="shared" ref="N93:T93" si="4">SUM(M93)</f>
        <v>0</v>
      </c>
      <c r="O93" s="1">
        <f t="shared" si="4"/>
        <v>0</v>
      </c>
      <c r="P93" s="1">
        <f t="shared" si="4"/>
        <v>0</v>
      </c>
      <c r="Q93" s="1">
        <f t="shared" si="4"/>
        <v>0</v>
      </c>
      <c r="R93" s="1">
        <f t="shared" si="4"/>
        <v>0</v>
      </c>
      <c r="S93" s="1">
        <f t="shared" si="4"/>
        <v>0</v>
      </c>
      <c r="T93" s="1">
        <f t="shared" si="4"/>
        <v>0</v>
      </c>
      <c r="U93" s="1"/>
      <c r="V93" s="1"/>
      <c r="W93" s="1"/>
      <c r="X93" s="1"/>
      <c r="Y93" s="1"/>
      <c r="Z93" s="1"/>
      <c r="AA93" s="1">
        <f>SUM(表1[[#This Row],[冬训14]:[冬训22]])</f>
        <v>0</v>
      </c>
      <c r="AB93" s="1" t="str">
        <f>IF(表1[[#This Row],[晚训后九次积分]]&lt;3,"少于3分"," ")</f>
        <v>少于3分</v>
      </c>
      <c r="AC93" s="1"/>
      <c r="AD93" s="1">
        <v>2</v>
      </c>
      <c r="AE93" s="1"/>
      <c r="AF93" s="1"/>
      <c r="AG93" s="1">
        <v>1</v>
      </c>
      <c r="AH93" s="1">
        <f>SUM(表1[[#This Row],[大运河]:[大杨山]])</f>
        <v>3</v>
      </c>
      <c r="AI93" s="1">
        <f>表1[[#This Row],[总拉练]]*2+表1[[#This Row],[总训练]]</f>
        <v>6</v>
      </c>
    </row>
    <row r="94" spans="1:35" x14ac:dyDescent="0.3">
      <c r="A94" s="6" t="s">
        <v>157</v>
      </c>
      <c r="L94" s="1"/>
      <c r="M94" s="1"/>
      <c r="N94" s="1"/>
      <c r="O94" s="1">
        <f>SUM(N94)</f>
        <v>0</v>
      </c>
      <c r="P94" s="1"/>
      <c r="Q94" s="1">
        <f>SUM(P94)</f>
        <v>0</v>
      </c>
      <c r="R94" s="1">
        <f>SUM(Q94)</f>
        <v>0</v>
      </c>
      <c r="S94" s="1">
        <f>SUM(R94)</f>
        <v>0</v>
      </c>
      <c r="T94" s="1">
        <f>SUM(S94)</f>
        <v>0</v>
      </c>
      <c r="U94" s="1"/>
      <c r="V94" s="1"/>
      <c r="W94" s="1"/>
      <c r="X94" s="1"/>
      <c r="Y94" s="1"/>
      <c r="Z94" s="1"/>
      <c r="AA94" s="1">
        <f>SUM(表1[[#This Row],[冬训14]:[冬训22]])</f>
        <v>0</v>
      </c>
      <c r="AB94" s="1" t="str">
        <f>IF(表1[[#This Row],[晚训后九次积分]]&lt;3,"少于3分"," ")</f>
        <v>少于3分</v>
      </c>
      <c r="AC94" s="1"/>
      <c r="AD94" s="1">
        <v>1</v>
      </c>
      <c r="AE94" s="1">
        <v>1</v>
      </c>
      <c r="AF94" s="1"/>
      <c r="AG94" s="1">
        <v>1</v>
      </c>
      <c r="AH94" s="1">
        <f>SUM(表1[[#This Row],[大运河]:[大杨山]])</f>
        <v>3</v>
      </c>
      <c r="AI94" s="1">
        <f>表1[[#This Row],[总拉练]]*2+表1[[#This Row],[总训练]]</f>
        <v>6</v>
      </c>
    </row>
    <row r="95" spans="1:35" x14ac:dyDescent="0.3">
      <c r="A95" t="s">
        <v>163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>
        <f>SUM(表1[[#This Row],[冬训14]:[冬训22]])</f>
        <v>0</v>
      </c>
      <c r="AB95" s="1" t="str">
        <f>IF(表1[[#This Row],[晚训后九次积分]]&lt;3,"少于3分"," ")</f>
        <v>少于3分</v>
      </c>
      <c r="AC95" s="1"/>
      <c r="AD95" s="1">
        <v>1</v>
      </c>
      <c r="AE95" s="1">
        <v>1</v>
      </c>
      <c r="AF95" s="1"/>
      <c r="AG95" s="1">
        <v>1</v>
      </c>
      <c r="AH95" s="1">
        <f>SUM(表1[[#This Row],[大运河]:[大杨山]])</f>
        <v>3</v>
      </c>
      <c r="AI95" s="1">
        <f>表1[[#This Row],[总拉练]]*2+表1[[#This Row],[总训练]]</f>
        <v>6</v>
      </c>
    </row>
    <row r="96" spans="1:35" x14ac:dyDescent="0.3">
      <c r="A96" t="s">
        <v>110</v>
      </c>
      <c r="C96" s="1">
        <v>0</v>
      </c>
      <c r="D96" s="1">
        <v>1</v>
      </c>
      <c r="E96" s="1">
        <v>0.5</v>
      </c>
      <c r="F96" s="1">
        <v>1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1</v>
      </c>
      <c r="U96" s="1"/>
      <c r="V96" s="1"/>
      <c r="W96" s="1"/>
      <c r="X96" s="1">
        <v>1</v>
      </c>
      <c r="Y96" s="1"/>
      <c r="Z96" s="1"/>
      <c r="AA96" s="1">
        <f>SUM(表1[[#This Row],[冬训14]:[冬训22]])</f>
        <v>2</v>
      </c>
      <c r="AB96" s="1" t="str">
        <f>IF(表1[[#This Row],[晚训后九次积分]]&lt;3,"少于3分"," ")</f>
        <v>少于3分</v>
      </c>
      <c r="AC96" s="1">
        <f t="shared" ref="AC96:AC116" si="5">SUM(C96:Z96)</f>
        <v>4.5</v>
      </c>
      <c r="AD96" s="1"/>
      <c r="AE96" s="1"/>
      <c r="AF96" s="1"/>
      <c r="AG96" s="1">
        <v>1</v>
      </c>
      <c r="AH96" s="1">
        <f>SUM(表1[[#This Row],[大运河]:[大杨山]])</f>
        <v>1</v>
      </c>
      <c r="AI96" s="1">
        <f>表1[[#This Row],[总拉练]]*2+表1[[#This Row],[总训练]]</f>
        <v>6.5</v>
      </c>
    </row>
    <row r="97" spans="1:35" x14ac:dyDescent="0.3">
      <c r="A97" t="s">
        <v>3</v>
      </c>
      <c r="C97" s="1">
        <v>1</v>
      </c>
      <c r="D97" s="1">
        <v>0</v>
      </c>
      <c r="E97" s="1">
        <v>1</v>
      </c>
      <c r="F97" s="1">
        <v>1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/>
      <c r="V97" s="1"/>
      <c r="W97" s="1"/>
      <c r="X97" s="1"/>
      <c r="Y97" s="1"/>
      <c r="Z97" s="1"/>
      <c r="AA97" s="1">
        <f>SUM(表1[[#This Row],[冬训14]:[冬训22]])</f>
        <v>0</v>
      </c>
      <c r="AB97" s="1" t="str">
        <f>IF(表1[[#This Row],[晚训后九次积分]]&lt;3,"少于3分"," ")</f>
        <v>少于3分</v>
      </c>
      <c r="AC97" s="1">
        <f t="shared" si="5"/>
        <v>3</v>
      </c>
      <c r="AD97" s="1"/>
      <c r="AE97" s="1"/>
      <c r="AF97" s="1"/>
      <c r="AG97" s="1">
        <v>1</v>
      </c>
      <c r="AH97" s="1">
        <f>SUM(表1[[#This Row],[大运河]:[大杨山]])</f>
        <v>1</v>
      </c>
      <c r="AI97" s="1">
        <f>表1[[#This Row],[总拉练]]*2+表1[[#This Row],[总训练]]</f>
        <v>5</v>
      </c>
    </row>
    <row r="98" spans="1:35" x14ac:dyDescent="0.3">
      <c r="A98" t="s">
        <v>6</v>
      </c>
      <c r="C98" s="1">
        <v>1</v>
      </c>
      <c r="D98" s="1">
        <v>1</v>
      </c>
      <c r="E98" s="1">
        <v>0</v>
      </c>
      <c r="F98" s="1">
        <v>0</v>
      </c>
      <c r="G98" s="1">
        <v>0</v>
      </c>
      <c r="H98" s="1">
        <v>1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/>
      <c r="V98" s="1"/>
      <c r="W98" s="1"/>
      <c r="X98" s="1"/>
      <c r="Y98" s="1"/>
      <c r="Z98" s="1"/>
      <c r="AA98" s="1">
        <f>SUM(表1[[#This Row],[冬训14]:[冬训22]])</f>
        <v>0</v>
      </c>
      <c r="AB98" s="1" t="str">
        <f>IF(表1[[#This Row],[晚训后九次积分]]&lt;3,"少于3分"," ")</f>
        <v>少于3分</v>
      </c>
      <c r="AC98" s="1">
        <f t="shared" si="5"/>
        <v>3</v>
      </c>
      <c r="AD98" s="1"/>
      <c r="AE98" s="1"/>
      <c r="AF98" s="1"/>
      <c r="AG98" s="1">
        <v>1</v>
      </c>
      <c r="AH98" s="1">
        <f>SUM(表1[[#This Row],[大运河]:[大杨山]])</f>
        <v>1</v>
      </c>
      <c r="AI98" s="1">
        <f>表1[[#This Row],[总拉练]]*2+表1[[#This Row],[总训练]]</f>
        <v>5</v>
      </c>
    </row>
    <row r="99" spans="1:35" x14ac:dyDescent="0.3">
      <c r="A99" t="s">
        <v>56</v>
      </c>
      <c r="C99" s="1">
        <v>1</v>
      </c>
      <c r="D99" s="1">
        <v>1</v>
      </c>
      <c r="E99" s="1">
        <v>0</v>
      </c>
      <c r="F99" s="1">
        <v>1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/>
      <c r="V99" s="1"/>
      <c r="W99" s="1"/>
      <c r="X99" s="1"/>
      <c r="Y99" s="1"/>
      <c r="Z99" s="1"/>
      <c r="AA99" s="1">
        <f>SUM(表1[[#This Row],[冬训14]:[冬训22]])</f>
        <v>0</v>
      </c>
      <c r="AB99" s="1" t="str">
        <f>IF(表1[[#This Row],[晚训后九次积分]]&lt;3,"少于3分"," ")</f>
        <v>少于3分</v>
      </c>
      <c r="AC99" s="1">
        <f t="shared" si="5"/>
        <v>3</v>
      </c>
      <c r="AD99" s="1"/>
      <c r="AE99" s="1"/>
      <c r="AF99" s="1"/>
      <c r="AG99" s="1">
        <v>1</v>
      </c>
      <c r="AH99" s="1">
        <f>SUM(表1[[#This Row],[大运河]:[大杨山]])</f>
        <v>1</v>
      </c>
      <c r="AI99" s="1">
        <f>表1[[#This Row],[总拉练]]*2+表1[[#This Row],[总训练]]</f>
        <v>5</v>
      </c>
    </row>
    <row r="100" spans="1:35" x14ac:dyDescent="0.3">
      <c r="A100" t="s">
        <v>91</v>
      </c>
      <c r="C100" s="1">
        <v>0</v>
      </c>
      <c r="D100" s="1">
        <v>0</v>
      </c>
      <c r="E100" s="1">
        <v>1</v>
      </c>
      <c r="F100" s="1">
        <v>1</v>
      </c>
      <c r="G100" s="1">
        <v>0</v>
      </c>
      <c r="H100" s="1">
        <v>1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/>
      <c r="V100" s="1"/>
      <c r="W100" s="1"/>
      <c r="X100" s="1"/>
      <c r="Y100" s="1"/>
      <c r="Z100" s="1"/>
      <c r="AA100" s="1">
        <f>SUM(表1[[#This Row],[冬训14]:[冬训22]])</f>
        <v>0</v>
      </c>
      <c r="AB100" s="1" t="str">
        <f>IF(表1[[#This Row],[晚训后九次积分]]&lt;3,"少于3分"," ")</f>
        <v>少于3分</v>
      </c>
      <c r="AC100" s="1">
        <f t="shared" si="5"/>
        <v>3</v>
      </c>
      <c r="AD100" s="1"/>
      <c r="AE100" s="1"/>
      <c r="AF100" s="1"/>
      <c r="AG100" s="1">
        <v>1</v>
      </c>
      <c r="AH100" s="1">
        <f>SUM(表1[[#This Row],[大运河]:[大杨山]])</f>
        <v>1</v>
      </c>
      <c r="AI100" s="1">
        <f>表1[[#This Row],[总拉练]]*2+表1[[#This Row],[总训练]]</f>
        <v>5</v>
      </c>
    </row>
    <row r="101" spans="1:35" x14ac:dyDescent="0.3">
      <c r="A101" t="s">
        <v>92</v>
      </c>
      <c r="C101" s="1">
        <v>0</v>
      </c>
      <c r="D101" s="1">
        <v>0</v>
      </c>
      <c r="E101" s="1">
        <v>1</v>
      </c>
      <c r="F101" s="1">
        <v>1</v>
      </c>
      <c r="G101" s="1">
        <v>1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/>
      <c r="V101" s="1"/>
      <c r="W101" s="1"/>
      <c r="X101" s="1"/>
      <c r="Y101" s="1"/>
      <c r="Z101" s="1"/>
      <c r="AA101" s="1">
        <f>SUM(表1[[#This Row],[冬训14]:[冬训22]])</f>
        <v>0</v>
      </c>
      <c r="AB101" s="1" t="str">
        <f>IF(表1[[#This Row],[晚训后九次积分]]&lt;3,"少于3分"," ")</f>
        <v>少于3分</v>
      </c>
      <c r="AC101" s="1">
        <f t="shared" si="5"/>
        <v>3</v>
      </c>
      <c r="AD101" s="1"/>
      <c r="AE101" s="1"/>
      <c r="AF101" s="1"/>
      <c r="AG101" s="1">
        <v>1</v>
      </c>
      <c r="AH101" s="1">
        <f>SUM(表1[[#This Row],[大运河]:[大杨山]])</f>
        <v>1</v>
      </c>
      <c r="AI101" s="1">
        <f>表1[[#This Row],[总拉练]]*2+表1[[#This Row],[总训练]]</f>
        <v>5</v>
      </c>
    </row>
    <row r="102" spans="1:35" x14ac:dyDescent="0.3">
      <c r="A102" t="s">
        <v>104</v>
      </c>
      <c r="C102" s="1">
        <v>0</v>
      </c>
      <c r="D102" s="1">
        <v>1</v>
      </c>
      <c r="E102" s="1">
        <v>0</v>
      </c>
      <c r="F102" s="1">
        <v>1</v>
      </c>
      <c r="G102" s="1">
        <v>1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/>
      <c r="V102" s="1"/>
      <c r="W102" s="1"/>
      <c r="X102" s="1"/>
      <c r="Y102" s="1"/>
      <c r="Z102" s="1"/>
      <c r="AA102" s="1">
        <f>SUM(表1[[#This Row],[冬训14]:[冬训22]])</f>
        <v>0</v>
      </c>
      <c r="AB102" s="1" t="str">
        <f>IF(表1[[#This Row],[晚训后九次积分]]&lt;3,"少于3分"," ")</f>
        <v>少于3分</v>
      </c>
      <c r="AC102" s="1">
        <f t="shared" si="5"/>
        <v>3</v>
      </c>
      <c r="AD102" s="1"/>
      <c r="AE102" s="1"/>
      <c r="AF102" s="1"/>
      <c r="AG102" s="1">
        <v>1</v>
      </c>
      <c r="AH102" s="1">
        <f>SUM(表1[[#This Row],[大运河]:[大杨山]])</f>
        <v>1</v>
      </c>
      <c r="AI102" s="1">
        <f>表1[[#This Row],[总拉练]]*2+表1[[#This Row],[总训练]]</f>
        <v>5</v>
      </c>
    </row>
    <row r="103" spans="1:35" x14ac:dyDescent="0.3">
      <c r="A103" t="s">
        <v>105</v>
      </c>
      <c r="C103" s="1">
        <v>0</v>
      </c>
      <c r="D103" s="1">
        <v>0</v>
      </c>
      <c r="E103" s="1">
        <v>1</v>
      </c>
      <c r="F103" s="1">
        <v>0</v>
      </c>
      <c r="G103" s="1">
        <v>1</v>
      </c>
      <c r="H103" s="1">
        <v>0</v>
      </c>
      <c r="I103" s="1">
        <v>0</v>
      </c>
      <c r="J103" s="1">
        <v>0</v>
      </c>
      <c r="K103" s="1">
        <v>1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/>
      <c r="V103" s="1"/>
      <c r="W103" s="1"/>
      <c r="X103" s="1"/>
      <c r="Y103" s="1"/>
      <c r="Z103" s="1"/>
      <c r="AA103" s="1">
        <f>SUM(表1[[#This Row],[冬训14]:[冬训22]])</f>
        <v>0</v>
      </c>
      <c r="AB103" s="1" t="str">
        <f>IF(表1[[#This Row],[晚训后九次积分]]&lt;3,"少于3分"," ")</f>
        <v>少于3分</v>
      </c>
      <c r="AC103" s="1">
        <f t="shared" si="5"/>
        <v>3</v>
      </c>
      <c r="AD103" s="1"/>
      <c r="AE103" s="1"/>
      <c r="AF103" s="1"/>
      <c r="AG103" s="1">
        <v>1</v>
      </c>
      <c r="AH103" s="1">
        <f>SUM(表1[[#This Row],[大运河]:[大杨山]])</f>
        <v>1</v>
      </c>
      <c r="AI103" s="1">
        <f>表1[[#This Row],[总拉练]]*2+表1[[#This Row],[总训练]]</f>
        <v>5</v>
      </c>
    </row>
    <row r="104" spans="1:35" x14ac:dyDescent="0.3">
      <c r="A104" t="s">
        <v>150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1</v>
      </c>
      <c r="S104" s="1">
        <v>0</v>
      </c>
      <c r="T104" s="1">
        <v>0</v>
      </c>
      <c r="U104" s="1">
        <v>1</v>
      </c>
      <c r="V104" s="1"/>
      <c r="W104" s="1"/>
      <c r="X104" s="1">
        <v>1</v>
      </c>
      <c r="Y104" s="1"/>
      <c r="Z104" s="1"/>
      <c r="AA104" s="1">
        <f>SUM(表1[[#This Row],[冬训14]:[冬训22]])</f>
        <v>3</v>
      </c>
      <c r="AB104" s="1" t="str">
        <f>IF(表1[[#This Row],[晚训后九次积分]]&lt;3,"少于3分"," ")</f>
        <v xml:space="preserve"> </v>
      </c>
      <c r="AC104" s="1">
        <f t="shared" si="5"/>
        <v>3</v>
      </c>
      <c r="AD104" s="1"/>
      <c r="AE104" s="1"/>
      <c r="AF104" s="1"/>
      <c r="AG104" s="1">
        <v>1</v>
      </c>
      <c r="AH104" s="1">
        <f>SUM(表1[[#This Row],[大运河]:[大杨山]])</f>
        <v>1</v>
      </c>
      <c r="AI104" s="1">
        <f>表1[[#This Row],[总拉练]]*2+表1[[#This Row],[总训练]]</f>
        <v>5</v>
      </c>
    </row>
    <row r="105" spans="1:35" x14ac:dyDescent="0.3">
      <c r="A105" t="s">
        <v>8</v>
      </c>
      <c r="C105" s="1">
        <v>1</v>
      </c>
      <c r="D105" s="1">
        <v>1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/>
      <c r="V105" s="1"/>
      <c r="W105" s="1"/>
      <c r="X105" s="1"/>
      <c r="Y105" s="1"/>
      <c r="Z105" s="1"/>
      <c r="AA105" s="1">
        <f>SUM(表1[[#This Row],[冬训14]:[冬训22]])</f>
        <v>0</v>
      </c>
      <c r="AB105" s="1" t="str">
        <f>IF(表1[[#This Row],[晚训后九次积分]]&lt;3,"少于3分"," ")</f>
        <v>少于3分</v>
      </c>
      <c r="AC105" s="1">
        <f t="shared" si="5"/>
        <v>2</v>
      </c>
      <c r="AD105" s="1"/>
      <c r="AE105" s="1"/>
      <c r="AF105" s="1"/>
      <c r="AG105" s="1">
        <v>1</v>
      </c>
      <c r="AH105" s="1">
        <f>SUM(表1[[#This Row],[大运河]:[大杨山]])</f>
        <v>1</v>
      </c>
      <c r="AI105" s="1">
        <f>表1[[#This Row],[总拉练]]*2+表1[[#This Row],[总训练]]</f>
        <v>4</v>
      </c>
    </row>
    <row r="106" spans="1:35" x14ac:dyDescent="0.3">
      <c r="A106" t="s">
        <v>58</v>
      </c>
      <c r="C106" s="1">
        <v>1</v>
      </c>
      <c r="D106" s="1">
        <v>1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/>
      <c r="V106" s="1"/>
      <c r="W106" s="1"/>
      <c r="X106" s="1"/>
      <c r="Y106" s="1"/>
      <c r="Z106" s="1"/>
      <c r="AA106" s="1">
        <f>SUM(表1[[#This Row],[冬训14]:[冬训22]])</f>
        <v>0</v>
      </c>
      <c r="AB106" s="1" t="str">
        <f>IF(表1[[#This Row],[晚训后九次积分]]&lt;3,"少于3分"," ")</f>
        <v>少于3分</v>
      </c>
      <c r="AC106" s="1">
        <f t="shared" si="5"/>
        <v>2</v>
      </c>
      <c r="AD106" s="1"/>
      <c r="AE106" s="1"/>
      <c r="AF106" s="1"/>
      <c r="AG106" s="1">
        <v>1</v>
      </c>
      <c r="AH106" s="1">
        <f>SUM(表1[[#This Row],[大运河]:[大杨山]])</f>
        <v>1</v>
      </c>
      <c r="AI106" s="1">
        <f>表1[[#This Row],[总拉练]]*2+表1[[#This Row],[总训练]]</f>
        <v>4</v>
      </c>
    </row>
    <row r="107" spans="1:35" x14ac:dyDescent="0.3">
      <c r="A107" t="s">
        <v>44</v>
      </c>
      <c r="C107" s="1">
        <v>1</v>
      </c>
      <c r="D107" s="1">
        <v>0</v>
      </c>
      <c r="E107" s="1">
        <v>1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/>
      <c r="V107" s="1"/>
      <c r="W107" s="1"/>
      <c r="X107" s="1"/>
      <c r="Y107" s="1"/>
      <c r="Z107" s="1"/>
      <c r="AA107" s="1">
        <f>SUM(表1[[#This Row],[冬训14]:[冬训22]])</f>
        <v>0</v>
      </c>
      <c r="AB107" s="1" t="str">
        <f>IF(表1[[#This Row],[晚训后九次积分]]&lt;3,"少于3分"," ")</f>
        <v>少于3分</v>
      </c>
      <c r="AC107" s="1">
        <f t="shared" si="5"/>
        <v>2</v>
      </c>
      <c r="AD107" s="1"/>
      <c r="AE107" s="1"/>
      <c r="AF107" s="1"/>
      <c r="AG107" s="1">
        <v>1</v>
      </c>
      <c r="AH107" s="1">
        <f>SUM(表1[[#This Row],[大运河]:[大杨山]])</f>
        <v>1</v>
      </c>
      <c r="AI107" s="1">
        <f>表1[[#This Row],[总拉练]]*2+表1[[#This Row],[总训练]]</f>
        <v>4</v>
      </c>
    </row>
    <row r="108" spans="1:35" x14ac:dyDescent="0.3">
      <c r="A108" t="s">
        <v>43</v>
      </c>
      <c r="C108" s="1">
        <v>1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1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/>
      <c r="V108" s="1"/>
      <c r="W108" s="1"/>
      <c r="X108" s="1"/>
      <c r="Y108" s="1"/>
      <c r="Z108" s="1"/>
      <c r="AA108" s="1">
        <f>SUM(表1[[#This Row],[冬训14]:[冬训22]])</f>
        <v>0</v>
      </c>
      <c r="AB108" s="1" t="str">
        <f>IF(表1[[#This Row],[晚训后九次积分]]&lt;3,"少于3分"," ")</f>
        <v>少于3分</v>
      </c>
      <c r="AC108" s="1">
        <f t="shared" si="5"/>
        <v>2</v>
      </c>
      <c r="AD108" s="1"/>
      <c r="AE108" s="1"/>
      <c r="AF108" s="1"/>
      <c r="AG108" s="1">
        <v>1</v>
      </c>
      <c r="AH108" s="1">
        <f>SUM(表1[[#This Row],[大运河]:[大杨山]])</f>
        <v>1</v>
      </c>
      <c r="AI108" s="1">
        <f>表1[[#This Row],[总拉练]]*2+表1[[#This Row],[总训练]]</f>
        <v>4</v>
      </c>
    </row>
    <row r="109" spans="1:35" x14ac:dyDescent="0.3">
      <c r="A109" t="s">
        <v>34</v>
      </c>
      <c r="C109" s="1">
        <v>1</v>
      </c>
      <c r="D109" s="1">
        <v>0</v>
      </c>
      <c r="E109" s="1">
        <v>0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/>
      <c r="V109" s="1"/>
      <c r="W109" s="1"/>
      <c r="X109" s="1"/>
      <c r="Y109" s="1"/>
      <c r="Z109" s="1"/>
      <c r="AA109" s="1">
        <f>SUM(表1[[#This Row],[冬训14]:[冬训22]])</f>
        <v>0</v>
      </c>
      <c r="AB109" s="1" t="str">
        <f>IF(表1[[#This Row],[晚训后九次积分]]&lt;3,"少于3分"," ")</f>
        <v>少于3分</v>
      </c>
      <c r="AC109" s="1">
        <f t="shared" si="5"/>
        <v>2</v>
      </c>
      <c r="AD109" s="1"/>
      <c r="AE109" s="1"/>
      <c r="AF109" s="1"/>
      <c r="AG109" s="1">
        <v>1</v>
      </c>
      <c r="AH109" s="1">
        <f>SUM(表1[[#This Row],[大运河]:[大杨山]])</f>
        <v>1</v>
      </c>
      <c r="AI109" s="1">
        <f>表1[[#This Row],[总拉练]]*2+表1[[#This Row],[总训练]]</f>
        <v>4</v>
      </c>
    </row>
    <row r="110" spans="1:35" x14ac:dyDescent="0.3">
      <c r="A110" t="s">
        <v>30</v>
      </c>
      <c r="C110" s="1">
        <v>1</v>
      </c>
      <c r="D110" s="1">
        <v>0</v>
      </c>
      <c r="E110" s="1">
        <v>0</v>
      </c>
      <c r="F110" s="1">
        <v>0</v>
      </c>
      <c r="G110" s="1">
        <v>1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/>
      <c r="V110" s="1"/>
      <c r="W110" s="1"/>
      <c r="X110" s="1"/>
      <c r="Y110" s="1"/>
      <c r="Z110" s="1"/>
      <c r="AA110" s="1">
        <f>SUM(表1[[#This Row],[冬训14]:[冬训22]])</f>
        <v>0</v>
      </c>
      <c r="AB110" s="1" t="str">
        <f>IF(表1[[#This Row],[晚训后九次积分]]&lt;3,"少于3分"," ")</f>
        <v>少于3分</v>
      </c>
      <c r="AC110" s="1">
        <f t="shared" si="5"/>
        <v>2</v>
      </c>
      <c r="AD110" s="1"/>
      <c r="AE110" s="1"/>
      <c r="AF110" s="1"/>
      <c r="AG110" s="1">
        <v>1</v>
      </c>
      <c r="AH110" s="1">
        <f>SUM(表1[[#This Row],[大运河]:[大杨山]])</f>
        <v>1</v>
      </c>
      <c r="AI110" s="1">
        <f>表1[[#This Row],[总拉练]]*2+表1[[#This Row],[总训练]]</f>
        <v>4</v>
      </c>
    </row>
    <row r="111" spans="1:35" x14ac:dyDescent="0.3">
      <c r="A111" t="s">
        <v>29</v>
      </c>
      <c r="C111" s="1">
        <v>1</v>
      </c>
      <c r="D111" s="1">
        <v>0</v>
      </c>
      <c r="E111" s="1">
        <v>0</v>
      </c>
      <c r="F111" s="1">
        <v>1</v>
      </c>
      <c r="G111" s="1">
        <v>0</v>
      </c>
      <c r="H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/>
      <c r="V111" s="1"/>
      <c r="W111" s="1"/>
      <c r="X111" s="1"/>
      <c r="Y111" s="1"/>
      <c r="Z111" s="1"/>
      <c r="AA111" s="1">
        <f>SUM(表1[[#This Row],[冬训14]:[冬训22]])</f>
        <v>0</v>
      </c>
      <c r="AB111" s="1" t="str">
        <f>IF(表1[[#This Row],[晚训后九次积分]]&lt;3,"少于3分"," ")</f>
        <v>少于3分</v>
      </c>
      <c r="AC111" s="1">
        <f t="shared" si="5"/>
        <v>2</v>
      </c>
      <c r="AD111" s="1"/>
      <c r="AE111" s="1"/>
      <c r="AF111" s="1"/>
      <c r="AG111" s="1">
        <v>1</v>
      </c>
      <c r="AH111" s="1">
        <f>SUM(表1[[#This Row],[大运河]:[大杨山]])</f>
        <v>1</v>
      </c>
      <c r="AI111" s="1">
        <f>表1[[#This Row],[总拉练]]*2+表1[[#This Row],[总训练]]</f>
        <v>4</v>
      </c>
    </row>
    <row r="112" spans="1:35" x14ac:dyDescent="0.3">
      <c r="A112" t="s">
        <v>25</v>
      </c>
      <c r="C112" s="1">
        <v>1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1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/>
      <c r="V112" s="1"/>
      <c r="W112" s="1"/>
      <c r="X112" s="1"/>
      <c r="Y112" s="1"/>
      <c r="Z112" s="1"/>
      <c r="AA112" s="1">
        <f>SUM(表1[[#This Row],[冬训14]:[冬训22]])</f>
        <v>0</v>
      </c>
      <c r="AB112" s="1" t="str">
        <f>IF(表1[[#This Row],[晚训后九次积分]]&lt;3,"少于3分"," ")</f>
        <v>少于3分</v>
      </c>
      <c r="AC112" s="1">
        <f t="shared" si="5"/>
        <v>2</v>
      </c>
      <c r="AD112" s="1"/>
      <c r="AE112" s="1"/>
      <c r="AF112" s="1"/>
      <c r="AG112" s="1">
        <v>1</v>
      </c>
      <c r="AH112" s="1">
        <f>SUM(表1[[#This Row],[大运河]:[大杨山]])</f>
        <v>1</v>
      </c>
      <c r="AI112" s="1">
        <f>表1[[#This Row],[总拉练]]*2+表1[[#This Row],[总训练]]</f>
        <v>4</v>
      </c>
    </row>
    <row r="113" spans="1:35" x14ac:dyDescent="0.3">
      <c r="A113" t="s">
        <v>100</v>
      </c>
      <c r="C113" s="1">
        <v>0</v>
      </c>
      <c r="D113" s="1">
        <v>0</v>
      </c>
      <c r="E113" s="1">
        <v>1</v>
      </c>
      <c r="F113" s="1">
        <v>1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/>
      <c r="V113" s="1"/>
      <c r="W113" s="1"/>
      <c r="X113" s="1"/>
      <c r="Y113" s="1"/>
      <c r="Z113" s="1"/>
      <c r="AA113" s="1">
        <f>SUM(表1[[#This Row],[冬训14]:[冬训22]])</f>
        <v>0</v>
      </c>
      <c r="AB113" s="1" t="str">
        <f>IF(表1[[#This Row],[晚训后九次积分]]&lt;3,"少于3分"," ")</f>
        <v>少于3分</v>
      </c>
      <c r="AC113" s="1">
        <f t="shared" si="5"/>
        <v>2</v>
      </c>
      <c r="AD113" s="1"/>
      <c r="AE113" s="1"/>
      <c r="AF113" s="1"/>
      <c r="AG113" s="1">
        <v>1</v>
      </c>
      <c r="AH113" s="1">
        <f>SUM(表1[[#This Row],[大运河]:[大杨山]])</f>
        <v>1</v>
      </c>
      <c r="AI113" s="1">
        <f>表1[[#This Row],[总拉练]]*2+表1[[#This Row],[总训练]]</f>
        <v>4</v>
      </c>
    </row>
    <row r="114" spans="1:35" x14ac:dyDescent="0.3">
      <c r="A114" t="s">
        <v>103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1</v>
      </c>
      <c r="I114" s="1">
        <v>0</v>
      </c>
      <c r="J114" s="1">
        <v>0</v>
      </c>
      <c r="K114" s="1">
        <v>1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/>
      <c r="V114" s="1"/>
      <c r="W114" s="1"/>
      <c r="X114" s="1"/>
      <c r="Y114" s="1"/>
      <c r="Z114" s="1"/>
      <c r="AA114" s="1">
        <f>SUM(表1[[#This Row],[冬训14]:[冬训22]])</f>
        <v>0</v>
      </c>
      <c r="AB114" s="1" t="str">
        <f>IF(表1[[#This Row],[晚训后九次积分]]&lt;3,"少于3分"," ")</f>
        <v>少于3分</v>
      </c>
      <c r="AC114" s="1">
        <f t="shared" si="5"/>
        <v>2</v>
      </c>
      <c r="AD114" s="1"/>
      <c r="AE114" s="1"/>
      <c r="AF114" s="1"/>
      <c r="AG114" s="1">
        <v>1</v>
      </c>
      <c r="AH114" s="1">
        <f>SUM(表1[[#This Row],[大运河]:[大杨山]])</f>
        <v>1</v>
      </c>
      <c r="AI114" s="1">
        <f>表1[[#This Row],[总拉练]]*2+表1[[#This Row],[总训练]]</f>
        <v>4</v>
      </c>
    </row>
    <row r="115" spans="1:35" x14ac:dyDescent="0.3">
      <c r="A115" t="s">
        <v>5</v>
      </c>
      <c r="C115" s="1">
        <v>1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1</v>
      </c>
      <c r="V115" s="1"/>
      <c r="W115" s="1"/>
      <c r="X115" s="1"/>
      <c r="Y115" s="1"/>
      <c r="Z115" s="1"/>
      <c r="AA115" s="1">
        <f>SUM(表1[[#This Row],[冬训14]:[冬训22]])</f>
        <v>1</v>
      </c>
      <c r="AB115" s="1" t="str">
        <f>IF(表1[[#This Row],[晚训后九次积分]]&lt;3,"少于3分"," ")</f>
        <v>少于3分</v>
      </c>
      <c r="AC115" s="1">
        <f t="shared" si="5"/>
        <v>2</v>
      </c>
      <c r="AD115" s="1"/>
      <c r="AE115" s="1"/>
      <c r="AF115" s="1"/>
      <c r="AG115" s="1">
        <v>1</v>
      </c>
      <c r="AH115" s="1">
        <f>SUM(表1[[#This Row],[大运河]:[大杨山]])</f>
        <v>1</v>
      </c>
      <c r="AI115" s="1">
        <f>表1[[#This Row],[总拉练]]*2+表1[[#This Row],[总训练]]</f>
        <v>4</v>
      </c>
    </row>
    <row r="116" spans="1:35" x14ac:dyDescent="0.3">
      <c r="A116" t="s">
        <v>57</v>
      </c>
      <c r="C116" s="1">
        <v>1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/>
      <c r="V116" s="1">
        <v>1</v>
      </c>
      <c r="W116" s="1"/>
      <c r="X116" s="1"/>
      <c r="Y116" s="1"/>
      <c r="Z116" s="1"/>
      <c r="AA116" s="1">
        <f>SUM(表1[[#This Row],[冬训14]:[冬训22]])</f>
        <v>1</v>
      </c>
      <c r="AB116" s="1" t="str">
        <f>IF(表1[[#This Row],[晚训后九次积分]]&lt;3,"少于3分"," ")</f>
        <v>少于3分</v>
      </c>
      <c r="AC116" s="1">
        <f t="shared" si="5"/>
        <v>2</v>
      </c>
      <c r="AD116" s="1"/>
      <c r="AE116" s="1"/>
      <c r="AF116" s="1"/>
      <c r="AG116" s="1">
        <v>1</v>
      </c>
      <c r="AH116" s="1">
        <f>SUM(表1[[#This Row],[大运河]:[大杨山]])</f>
        <v>1</v>
      </c>
      <c r="AI116" s="1">
        <f>表1[[#This Row],[总拉练]]*2+表1[[#This Row],[总训练]]</f>
        <v>4</v>
      </c>
    </row>
    <row r="117" spans="1:35" x14ac:dyDescent="0.3">
      <c r="A117" t="s">
        <v>38</v>
      </c>
      <c r="C117" s="1">
        <v>1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/>
      <c r="V117" s="1"/>
      <c r="W117" s="1"/>
      <c r="X117" s="1"/>
      <c r="Y117" s="1"/>
      <c r="Z117" s="1"/>
      <c r="AA117" s="1">
        <f>SUM(表1[[#This Row],[冬训14]:[冬训22]])</f>
        <v>0</v>
      </c>
      <c r="AB117" s="1" t="str">
        <f>IF(表1[[#This Row],[晚训后九次积分]]&lt;3,"少于3分"," ")</f>
        <v>少于3分</v>
      </c>
      <c r="AC117" s="1"/>
      <c r="AD117" s="1"/>
      <c r="AE117" s="1">
        <v>1</v>
      </c>
      <c r="AF117" s="1"/>
      <c r="AG117" s="1">
        <v>1</v>
      </c>
      <c r="AH117" s="1">
        <f>SUM(表1[[#This Row],[大运河]:[大杨山]])</f>
        <v>2</v>
      </c>
      <c r="AI117" s="1">
        <f>表1[[#This Row],[总拉练]]*2+表1[[#This Row],[总训练]]</f>
        <v>4</v>
      </c>
    </row>
    <row r="118" spans="1:35" x14ac:dyDescent="0.3">
      <c r="A118" t="s">
        <v>111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1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/>
      <c r="V118" s="1"/>
      <c r="W118" s="1"/>
      <c r="X118" s="1"/>
      <c r="Y118" s="1"/>
      <c r="Z118" s="1"/>
      <c r="AA118" s="1">
        <f>SUM(表1[[#This Row],[冬训14]:[冬训22]])</f>
        <v>0</v>
      </c>
      <c r="AB118" s="1" t="str">
        <f>IF(表1[[#This Row],[晚训后九次积分]]&lt;3,"少于3分"," ")</f>
        <v>少于3分</v>
      </c>
      <c r="AC118" s="1"/>
      <c r="AD118" s="1"/>
      <c r="AE118" s="1">
        <v>1</v>
      </c>
      <c r="AF118" s="1"/>
      <c r="AG118" s="1">
        <v>1</v>
      </c>
      <c r="AH118" s="1">
        <f>SUM(表1[[#This Row],[大运河]:[大杨山]])</f>
        <v>2</v>
      </c>
      <c r="AI118" s="1">
        <f>表1[[#This Row],[总拉练]]*2+表1[[#This Row],[总训练]]</f>
        <v>4</v>
      </c>
    </row>
    <row r="119" spans="1:35" x14ac:dyDescent="0.3">
      <c r="A119" t="s">
        <v>117</v>
      </c>
      <c r="C119" s="1">
        <v>0</v>
      </c>
      <c r="D119" s="1">
        <v>1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/>
      <c r="V119" s="1"/>
      <c r="W119" s="1"/>
      <c r="X119" s="1"/>
      <c r="Y119" s="1"/>
      <c r="Z119" s="1"/>
      <c r="AA119" s="1">
        <f>SUM(表1[[#This Row],[冬训14]:[冬训22]])</f>
        <v>0</v>
      </c>
      <c r="AB119" s="1" t="str">
        <f>IF(表1[[#This Row],[晚训后九次积分]]&lt;3,"少于3分"," ")</f>
        <v>少于3分</v>
      </c>
      <c r="AC119" s="1"/>
      <c r="AD119" s="1">
        <v>1</v>
      </c>
      <c r="AE119" s="1"/>
      <c r="AF119" s="1"/>
      <c r="AG119" s="1">
        <v>1</v>
      </c>
      <c r="AH119" s="1">
        <f>SUM(表1[[#This Row],[大运河]:[大杨山]])</f>
        <v>2</v>
      </c>
      <c r="AI119" s="1">
        <f>表1[[#This Row],[总拉练]]*2+表1[[#This Row],[总训练]]</f>
        <v>4</v>
      </c>
    </row>
    <row r="120" spans="1:35" x14ac:dyDescent="0.3">
      <c r="A120" t="s">
        <v>122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1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/>
      <c r="V120" s="1"/>
      <c r="W120" s="1"/>
      <c r="X120" s="1"/>
      <c r="Y120" s="1"/>
      <c r="Z120" s="1"/>
      <c r="AA120" s="1">
        <f>SUM(表1[[#This Row],[冬训14]:[冬训22]])</f>
        <v>0</v>
      </c>
      <c r="AB120" s="1" t="str">
        <f>IF(表1[[#This Row],[晚训后九次积分]]&lt;3,"少于3分"," ")</f>
        <v>少于3分</v>
      </c>
      <c r="AC120" s="1"/>
      <c r="AD120" s="1"/>
      <c r="AE120" s="1"/>
      <c r="AF120" s="1">
        <v>1</v>
      </c>
      <c r="AG120" s="1">
        <v>1</v>
      </c>
      <c r="AH120" s="1">
        <f>SUM(表1[[#This Row],[大运河]:[大杨山]])</f>
        <v>2</v>
      </c>
      <c r="AI120" s="1">
        <f>表1[[#This Row],[总拉练]]*2+表1[[#This Row],[总训练]]</f>
        <v>4</v>
      </c>
    </row>
    <row r="121" spans="1:35" x14ac:dyDescent="0.3">
      <c r="A121" t="s">
        <v>134</v>
      </c>
      <c r="C121" s="1">
        <v>0</v>
      </c>
      <c r="D121" s="1">
        <v>1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/>
      <c r="V121" s="1"/>
      <c r="W121" s="1"/>
      <c r="X121" s="1"/>
      <c r="Y121" s="1"/>
      <c r="Z121" s="1"/>
      <c r="AA121" s="1">
        <f>SUM(表1[[#This Row],[冬训14]:[冬训22]])</f>
        <v>0</v>
      </c>
      <c r="AB121" s="1" t="str">
        <f>IF(表1[[#This Row],[晚训后九次积分]]&lt;3,"少于3分"," ")</f>
        <v>少于3分</v>
      </c>
      <c r="AC121" s="1"/>
      <c r="AD121" s="1"/>
      <c r="AE121" s="1">
        <v>1</v>
      </c>
      <c r="AF121" s="1"/>
      <c r="AG121" s="1">
        <v>1</v>
      </c>
      <c r="AH121" s="1">
        <f>SUM(表1[[#This Row],[大运河]:[大杨山]])</f>
        <v>2</v>
      </c>
      <c r="AI121" s="1">
        <f>表1[[#This Row],[总拉练]]*2+表1[[#This Row],[总训练]]</f>
        <v>4</v>
      </c>
    </row>
    <row r="122" spans="1:35" x14ac:dyDescent="0.3">
      <c r="A122" t="s">
        <v>158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>
        <v>1</v>
      </c>
      <c r="AA122" s="1">
        <f>SUM(表1[[#This Row],[冬训14]:[冬训22]])</f>
        <v>0</v>
      </c>
      <c r="AB122" s="1" t="str">
        <f>IF(表1[[#This Row],[晚训后九次积分]]&lt;3,"少于3分"," ")</f>
        <v>少于3分</v>
      </c>
      <c r="AC122" s="1"/>
      <c r="AD122" s="1">
        <v>1</v>
      </c>
      <c r="AE122" s="1"/>
      <c r="AF122" s="1"/>
      <c r="AG122" s="1">
        <v>1</v>
      </c>
      <c r="AH122" s="1">
        <f>SUM(表1[[#This Row],[大运河]:[大杨山]])</f>
        <v>2</v>
      </c>
      <c r="AI122" s="1">
        <f>表1[[#This Row],[总拉练]]*2+表1[[#This Row],[总训练]]</f>
        <v>4</v>
      </c>
    </row>
    <row r="123" spans="1:35" x14ac:dyDescent="0.3">
      <c r="A123" t="s">
        <v>160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>
        <f>SUM(表1[[#This Row],[冬训14]:[冬训22]])</f>
        <v>0</v>
      </c>
      <c r="AB123" s="1" t="str">
        <f>IF(表1[[#This Row],[晚训后九次积分]]&lt;3,"少于3分"," ")</f>
        <v>少于3分</v>
      </c>
      <c r="AC123" s="1"/>
      <c r="AD123" s="1">
        <v>1</v>
      </c>
      <c r="AE123" s="1"/>
      <c r="AF123" s="1"/>
      <c r="AG123" s="1">
        <v>1</v>
      </c>
      <c r="AH123" s="1">
        <f>SUM(表1[[#This Row],[大运河]:[大杨山]])</f>
        <v>2</v>
      </c>
      <c r="AI123" s="1">
        <f>表1[[#This Row],[总拉练]]*2+表1[[#This Row],[总训练]]</f>
        <v>4</v>
      </c>
    </row>
    <row r="124" spans="1:35" x14ac:dyDescent="0.3">
      <c r="A124" t="s">
        <v>161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>
        <f>SUM(表1[[#This Row],[冬训14]:[冬训22]])</f>
        <v>0</v>
      </c>
      <c r="AB124" s="1" t="str">
        <f>IF(表1[[#This Row],[晚训后九次积分]]&lt;3,"少于3分"," ")</f>
        <v>少于3分</v>
      </c>
      <c r="AC124" s="1"/>
      <c r="AD124" s="1">
        <v>1</v>
      </c>
      <c r="AE124" s="1"/>
      <c r="AF124" s="1"/>
      <c r="AG124" s="1">
        <v>1</v>
      </c>
      <c r="AH124" s="1">
        <f>SUM(表1[[#This Row],[大运河]:[大杨山]])</f>
        <v>2</v>
      </c>
      <c r="AI124" s="1">
        <f>表1[[#This Row],[总拉练]]*2+表1[[#This Row],[总训练]]</f>
        <v>4</v>
      </c>
    </row>
    <row r="125" spans="1:35" x14ac:dyDescent="0.3">
      <c r="A125" t="s">
        <v>162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>
        <f>SUM(表1[[#This Row],[冬训14]:[冬训22]])</f>
        <v>0</v>
      </c>
      <c r="AB125" s="1" t="str">
        <f>IF(表1[[#This Row],[晚训后九次积分]]&lt;3,"少于3分"," ")</f>
        <v>少于3分</v>
      </c>
      <c r="AC125" s="1"/>
      <c r="AD125" s="1">
        <v>1</v>
      </c>
      <c r="AE125" s="1"/>
      <c r="AF125" s="1"/>
      <c r="AG125" s="1">
        <v>1</v>
      </c>
      <c r="AH125" s="1">
        <f>SUM(表1[[#This Row],[大运河]:[大杨山]])</f>
        <v>2</v>
      </c>
      <c r="AI125" s="1">
        <f>表1[[#This Row],[总拉练]]*2+表1[[#This Row],[总训练]]</f>
        <v>4</v>
      </c>
    </row>
    <row r="126" spans="1:35" x14ac:dyDescent="0.3">
      <c r="A126" t="s">
        <v>165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>
        <f>SUM(表1[[#This Row],[冬训14]:[冬训22]])</f>
        <v>0</v>
      </c>
      <c r="AB126" s="1" t="str">
        <f>IF(表1[[#This Row],[晚训后九次积分]]&lt;3,"少于3分"," ")</f>
        <v>少于3分</v>
      </c>
      <c r="AC126" s="1"/>
      <c r="AD126" s="1">
        <v>1</v>
      </c>
      <c r="AE126" s="1"/>
      <c r="AF126" s="1"/>
      <c r="AG126" s="1">
        <v>1</v>
      </c>
      <c r="AH126" s="1">
        <f>SUM(表1[[#This Row],[大运河]:[大杨山]])</f>
        <v>2</v>
      </c>
      <c r="AI126" s="1">
        <f>表1[[#This Row],[总拉练]]*2+表1[[#This Row],[总训练]]</f>
        <v>4</v>
      </c>
    </row>
    <row r="127" spans="1:35" x14ac:dyDescent="0.3">
      <c r="A127" t="s">
        <v>166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>
        <f>SUM(表1[[#This Row],[冬训14]:[冬训22]])</f>
        <v>0</v>
      </c>
      <c r="AB127" s="1" t="str">
        <f>IF(表1[[#This Row],[晚训后九次积分]]&lt;3,"少于3分"," ")</f>
        <v>少于3分</v>
      </c>
      <c r="AC127" s="1"/>
      <c r="AD127" s="1">
        <v>1</v>
      </c>
      <c r="AE127" s="1"/>
      <c r="AF127" s="1"/>
      <c r="AG127" s="1">
        <v>1</v>
      </c>
      <c r="AH127" s="1">
        <f>SUM(表1[[#This Row],[大运河]:[大杨山]])</f>
        <v>2</v>
      </c>
      <c r="AI127" s="1">
        <f>表1[[#This Row],[总拉练]]*2+表1[[#This Row],[总训练]]</f>
        <v>4</v>
      </c>
    </row>
    <row r="128" spans="1:35" x14ac:dyDescent="0.3">
      <c r="A128" t="s">
        <v>167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>
        <v>1</v>
      </c>
      <c r="AA128" s="1">
        <f>SUM(表1[[#This Row],[冬训14]:[冬训22]])</f>
        <v>0</v>
      </c>
      <c r="AB128" s="1" t="str">
        <f>IF(表1[[#This Row],[晚训后九次积分]]&lt;3,"少于3分"," ")</f>
        <v>少于3分</v>
      </c>
      <c r="AC128" s="1"/>
      <c r="AD128" s="1">
        <v>1</v>
      </c>
      <c r="AE128" s="1"/>
      <c r="AF128" s="1"/>
      <c r="AG128" s="1">
        <v>1</v>
      </c>
      <c r="AH128" s="1">
        <f>SUM(表1[[#This Row],[大运河]:[大杨山]])</f>
        <v>2</v>
      </c>
      <c r="AI128" s="1">
        <f>表1[[#This Row],[总拉练]]*2+表1[[#This Row],[总训练]]</f>
        <v>4</v>
      </c>
    </row>
    <row r="129" spans="1:35" x14ac:dyDescent="0.3">
      <c r="A129" t="s">
        <v>168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>
        <f>SUM(表1[[#This Row],[冬训14]:[冬训22]])</f>
        <v>0</v>
      </c>
      <c r="AB129" s="1" t="str">
        <f>IF(表1[[#This Row],[晚训后九次积分]]&lt;3,"少于3分"," ")</f>
        <v>少于3分</v>
      </c>
      <c r="AC129" s="1"/>
      <c r="AD129" s="1">
        <v>1</v>
      </c>
      <c r="AE129" s="1"/>
      <c r="AF129" s="1"/>
      <c r="AG129" s="1">
        <v>1</v>
      </c>
      <c r="AH129" s="1">
        <f>SUM(表1[[#This Row],[大运河]:[大杨山]])</f>
        <v>2</v>
      </c>
      <c r="AI129" s="1">
        <f>表1[[#This Row],[总拉练]]*2+表1[[#This Row],[总训练]]</f>
        <v>4</v>
      </c>
    </row>
    <row r="130" spans="1:35" x14ac:dyDescent="0.3">
      <c r="A130" t="s">
        <v>169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>
        <f>SUM(表1[[#This Row],[冬训14]:[冬训22]])</f>
        <v>0</v>
      </c>
      <c r="AB130" s="1" t="str">
        <f>IF(表1[[#This Row],[晚训后九次积分]]&lt;3,"少于3分"," ")</f>
        <v>少于3分</v>
      </c>
      <c r="AC130" s="1"/>
      <c r="AD130" s="1">
        <v>1</v>
      </c>
      <c r="AE130" s="1"/>
      <c r="AF130" s="1"/>
      <c r="AG130" s="1">
        <v>1</v>
      </c>
      <c r="AH130" s="1">
        <f>SUM(表1[[#This Row],[大运河]:[大杨山]])</f>
        <v>2</v>
      </c>
      <c r="AI130" s="1">
        <f>表1[[#This Row],[总拉练]]*2+表1[[#This Row],[总训练]]</f>
        <v>4</v>
      </c>
    </row>
    <row r="131" spans="1:35" x14ac:dyDescent="0.3">
      <c r="A131" t="s">
        <v>170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>
        <f>SUM(表1[[#This Row],[冬训14]:[冬训22]])</f>
        <v>0</v>
      </c>
      <c r="AB131" s="1" t="str">
        <f>IF(表1[[#This Row],[晚训后九次积分]]&lt;3,"少于3分"," ")</f>
        <v>少于3分</v>
      </c>
      <c r="AC131" s="1"/>
      <c r="AD131" s="1">
        <v>1</v>
      </c>
      <c r="AE131" s="1"/>
      <c r="AF131" s="1"/>
      <c r="AG131" s="1">
        <v>1</v>
      </c>
      <c r="AH131" s="1">
        <f>SUM(表1[[#This Row],[大运河]:[大杨山]])</f>
        <v>2</v>
      </c>
      <c r="AI131" s="1">
        <f>表1[[#This Row],[总拉练]]*2+表1[[#This Row],[总训练]]</f>
        <v>4</v>
      </c>
    </row>
    <row r="132" spans="1:35" x14ac:dyDescent="0.3">
      <c r="A132" t="s">
        <v>193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>
        <f>SUM(表1[[#This Row],[冬训14]:[冬训22]])</f>
        <v>0</v>
      </c>
      <c r="AB132" s="1" t="str">
        <f>IF(表1[[#This Row],[晚训后九次积分]]&lt;3,"少于3分"," ")</f>
        <v>少于3分</v>
      </c>
      <c r="AC132" s="1"/>
      <c r="AD132" s="1">
        <v>1</v>
      </c>
      <c r="AE132" s="1"/>
      <c r="AF132" s="1"/>
      <c r="AG132" s="1">
        <v>1</v>
      </c>
      <c r="AH132" s="1">
        <f>SUM(表1[[#This Row],[大运河]:[大杨山]])</f>
        <v>2</v>
      </c>
      <c r="AI132" s="1">
        <f>表1[[#This Row],[总拉练]]*2+表1[[#This Row],[总训练]]</f>
        <v>4</v>
      </c>
    </row>
    <row r="133" spans="1:35" x14ac:dyDescent="0.3">
      <c r="A133" t="s">
        <v>11</v>
      </c>
      <c r="C133" s="1">
        <v>1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/>
      <c r="V133" s="1"/>
      <c r="W133" s="1"/>
      <c r="X133" s="1"/>
      <c r="Y133" s="1"/>
      <c r="Z133" s="1"/>
      <c r="AA133" s="1">
        <f>SUM(表1[[#This Row],[冬训14]:[冬训22]])</f>
        <v>0</v>
      </c>
      <c r="AB133" s="1" t="str">
        <f>IF(表1[[#This Row],[晚训后九次积分]]&lt;3,"少于3分"," ")</f>
        <v>少于3分</v>
      </c>
      <c r="AC133" s="1">
        <f>SUM(C133:Z133)</f>
        <v>1</v>
      </c>
      <c r="AD133" s="1"/>
      <c r="AE133" s="1"/>
      <c r="AF133" s="1"/>
      <c r="AG133" s="1">
        <v>1</v>
      </c>
      <c r="AH133" s="1">
        <f>SUM(表1[[#This Row],[大运河]:[大杨山]])</f>
        <v>1</v>
      </c>
      <c r="AI133" s="1">
        <f>表1[[#This Row],[总拉练]]*2+表1[[#This Row],[总训练]]</f>
        <v>3</v>
      </c>
    </row>
    <row r="134" spans="1:35" x14ac:dyDescent="0.3">
      <c r="A134" t="s">
        <v>13</v>
      </c>
      <c r="C134" s="1">
        <v>1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/>
      <c r="V134" s="1"/>
      <c r="W134" s="1"/>
      <c r="X134" s="1"/>
      <c r="Y134" s="1"/>
      <c r="Z134" s="1"/>
      <c r="AA134" s="1">
        <f>SUM(表1[[#This Row],[冬训14]:[冬训22]])</f>
        <v>0</v>
      </c>
      <c r="AB134" s="1" t="str">
        <f>IF(表1[[#This Row],[晚训后九次积分]]&lt;3,"少于3分"," ")</f>
        <v>少于3分</v>
      </c>
      <c r="AC134" s="1">
        <f>SUM(C134:Z134)</f>
        <v>1</v>
      </c>
      <c r="AD134" s="1"/>
      <c r="AE134" s="1"/>
      <c r="AF134" s="1"/>
      <c r="AG134" s="1">
        <v>1</v>
      </c>
      <c r="AH134" s="1">
        <f>SUM(表1[[#This Row],[大运河]:[大杨山]])</f>
        <v>1</v>
      </c>
      <c r="AI134" s="1">
        <f>表1[[#This Row],[总拉练]]*2+表1[[#This Row],[总训练]]</f>
        <v>3</v>
      </c>
    </row>
    <row r="135" spans="1:35" x14ac:dyDescent="0.3">
      <c r="A135" t="s">
        <v>152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1</v>
      </c>
      <c r="T135" s="1">
        <v>0</v>
      </c>
      <c r="U135" s="1"/>
      <c r="V135" s="1"/>
      <c r="W135" s="1"/>
      <c r="X135" s="1"/>
      <c r="Y135" s="1"/>
      <c r="Z135" s="1"/>
      <c r="AA135" s="1">
        <f>SUM(表1[[#This Row],[冬训14]:[冬训22]])</f>
        <v>1</v>
      </c>
      <c r="AB135" s="1" t="str">
        <f>IF(表1[[#This Row],[晚训后九次积分]]&lt;3,"少于3分"," ")</f>
        <v>少于3分</v>
      </c>
      <c r="AC135" s="1">
        <f>SUM(C135:Z135)</f>
        <v>1</v>
      </c>
      <c r="AD135" s="1"/>
      <c r="AE135" s="1"/>
      <c r="AF135" s="1"/>
      <c r="AG135" s="1">
        <v>1</v>
      </c>
      <c r="AH135" s="1">
        <f>SUM(表1[[#This Row],[大运河]:[大杨山]])</f>
        <v>1</v>
      </c>
      <c r="AI135" s="1">
        <f>表1[[#This Row],[总拉练]]*2+表1[[#This Row],[总训练]]</f>
        <v>3</v>
      </c>
    </row>
    <row r="136" spans="1:35" x14ac:dyDescent="0.3">
      <c r="A136" t="s">
        <v>41</v>
      </c>
      <c r="C136" s="1">
        <v>1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/>
      <c r="V136" s="1"/>
      <c r="W136" s="1"/>
      <c r="X136" s="1"/>
      <c r="Y136" s="1"/>
      <c r="Z136" s="1"/>
      <c r="AA136" s="1">
        <f>SUM(表1[[#This Row],[冬训14]:[冬训22]])</f>
        <v>0</v>
      </c>
      <c r="AB136" s="1" t="str">
        <f>IF(表1[[#This Row],[晚训后九次积分]]&lt;3,"少于3分"," ")</f>
        <v>少于3分</v>
      </c>
      <c r="AC136" s="1"/>
      <c r="AD136" s="1"/>
      <c r="AE136" s="1"/>
      <c r="AF136" s="1"/>
      <c r="AG136" s="1">
        <v>1</v>
      </c>
      <c r="AH136" s="1">
        <f>SUM(表1[[#This Row],[大运河]:[大杨山]])</f>
        <v>1</v>
      </c>
      <c r="AI136" s="1">
        <f>表1[[#This Row],[总拉练]]*2+表1[[#This Row],[总训练]]</f>
        <v>2</v>
      </c>
    </row>
    <row r="137" spans="1:35" x14ac:dyDescent="0.3">
      <c r="A137" t="s">
        <v>27</v>
      </c>
      <c r="C137" s="1">
        <v>1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/>
      <c r="V137" s="1"/>
      <c r="W137" s="1"/>
      <c r="X137" s="1"/>
      <c r="Y137" s="1"/>
      <c r="Z137" s="1"/>
      <c r="AA137" s="1">
        <f>SUM(表1[[#This Row],[冬训14]:[冬训22]])</f>
        <v>0</v>
      </c>
      <c r="AB137" s="1" t="str">
        <f>IF(表1[[#This Row],[晚训后九次积分]]&lt;3,"少于3分"," ")</f>
        <v>少于3分</v>
      </c>
      <c r="AC137" s="1"/>
      <c r="AD137" s="1"/>
      <c r="AE137" s="1"/>
      <c r="AF137" s="1"/>
      <c r="AG137" s="1">
        <v>1</v>
      </c>
      <c r="AH137" s="1">
        <f>SUM(表1[[#This Row],[大运河]:[大杨山]])</f>
        <v>1</v>
      </c>
      <c r="AI137" s="1">
        <f>表1[[#This Row],[总拉练]]*2+表1[[#This Row],[总训练]]</f>
        <v>2</v>
      </c>
    </row>
    <row r="138" spans="1:35" x14ac:dyDescent="0.3">
      <c r="A138" t="s">
        <v>24</v>
      </c>
      <c r="C138" s="1">
        <v>1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/>
      <c r="V138" s="1"/>
      <c r="W138" s="1"/>
      <c r="X138" s="1"/>
      <c r="Y138" s="1"/>
      <c r="Z138" s="1"/>
      <c r="AA138" s="1">
        <f>SUM(表1[[#This Row],[冬训14]:[冬训22]])</f>
        <v>0</v>
      </c>
      <c r="AB138" s="1" t="str">
        <f>IF(表1[[#This Row],[晚训后九次积分]]&lt;3,"少于3分"," ")</f>
        <v>少于3分</v>
      </c>
      <c r="AC138" s="1"/>
      <c r="AD138" s="1"/>
      <c r="AE138" s="1"/>
      <c r="AF138" s="1"/>
      <c r="AG138" s="1">
        <v>1</v>
      </c>
      <c r="AH138" s="1">
        <f>SUM(表1[[#This Row],[大运河]:[大杨山]])</f>
        <v>1</v>
      </c>
      <c r="AI138" s="1">
        <f>表1[[#This Row],[总拉练]]*2+表1[[#This Row],[总训练]]</f>
        <v>2</v>
      </c>
    </row>
    <row r="139" spans="1:35" x14ac:dyDescent="0.3">
      <c r="A139" t="s">
        <v>20</v>
      </c>
      <c r="C139" s="1">
        <v>1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/>
      <c r="V139" s="1"/>
      <c r="W139" s="1"/>
      <c r="X139" s="1"/>
      <c r="Y139" s="1"/>
      <c r="Z139" s="1"/>
      <c r="AA139" s="1">
        <f>SUM(表1[[#This Row],[冬训14]:[冬训22]])</f>
        <v>0</v>
      </c>
      <c r="AB139" s="1" t="str">
        <f>IF(表1[[#This Row],[晚训后九次积分]]&lt;3,"少于3分"," ")</f>
        <v>少于3分</v>
      </c>
      <c r="AC139" s="1"/>
      <c r="AD139" s="1"/>
      <c r="AE139" s="1"/>
      <c r="AF139" s="1"/>
      <c r="AG139" s="1">
        <v>1</v>
      </c>
      <c r="AH139" s="1">
        <f>SUM(表1[[#This Row],[大运河]:[大杨山]])</f>
        <v>1</v>
      </c>
      <c r="AI139" s="1">
        <f>表1[[#This Row],[总拉练]]*2+表1[[#This Row],[总训练]]</f>
        <v>2</v>
      </c>
    </row>
    <row r="140" spans="1:35" x14ac:dyDescent="0.3">
      <c r="A140" t="s">
        <v>98</v>
      </c>
      <c r="C140" s="1">
        <v>0</v>
      </c>
      <c r="D140" s="1">
        <v>1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/>
      <c r="V140" s="1"/>
      <c r="W140" s="1"/>
      <c r="X140" s="1"/>
      <c r="Y140" s="1"/>
      <c r="Z140" s="1"/>
      <c r="AA140" s="1">
        <f>SUM(表1[[#This Row],[冬训14]:[冬训22]])</f>
        <v>0</v>
      </c>
      <c r="AB140" s="1" t="str">
        <f>IF(表1[[#This Row],[晚训后九次积分]]&lt;3,"少于3分"," ")</f>
        <v>少于3分</v>
      </c>
      <c r="AC140" s="1"/>
      <c r="AD140" s="1"/>
      <c r="AE140" s="1"/>
      <c r="AF140" s="1"/>
      <c r="AG140" s="1">
        <v>1</v>
      </c>
      <c r="AH140" s="1">
        <f>SUM(表1[[#This Row],[大运河]:[大杨山]])</f>
        <v>1</v>
      </c>
      <c r="AI140" s="1">
        <f>表1[[#This Row],[总拉练]]*2+表1[[#This Row],[总训练]]</f>
        <v>2</v>
      </c>
    </row>
    <row r="141" spans="1:35" x14ac:dyDescent="0.3">
      <c r="A141" t="s">
        <v>112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1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/>
      <c r="V141" s="1"/>
      <c r="W141" s="1"/>
      <c r="X141" s="1"/>
      <c r="Y141" s="1"/>
      <c r="Z141" s="1"/>
      <c r="AA141" s="1">
        <f>SUM(表1[[#This Row],[冬训14]:[冬训22]])</f>
        <v>0</v>
      </c>
      <c r="AB141" s="1" t="str">
        <f>IF(表1[[#This Row],[晚训后九次积分]]&lt;3,"少于3分"," ")</f>
        <v>少于3分</v>
      </c>
      <c r="AC141" s="1"/>
      <c r="AD141" s="1"/>
      <c r="AE141" s="1"/>
      <c r="AF141" s="1"/>
      <c r="AG141" s="1">
        <v>1</v>
      </c>
      <c r="AH141" s="1">
        <f>SUM(表1[[#This Row],[大运河]:[大杨山]])</f>
        <v>1</v>
      </c>
      <c r="AI141" s="1">
        <f>表1[[#This Row],[总拉练]]*2+表1[[#This Row],[总训练]]</f>
        <v>2</v>
      </c>
    </row>
    <row r="142" spans="1:35" x14ac:dyDescent="0.3">
      <c r="A142" t="s">
        <v>113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1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/>
      <c r="V142" s="1"/>
      <c r="W142" s="1"/>
      <c r="X142" s="1"/>
      <c r="Y142" s="1"/>
      <c r="Z142" s="1"/>
      <c r="AA142" s="1">
        <f>SUM(表1[[#This Row],[冬训14]:[冬训22]])</f>
        <v>0</v>
      </c>
      <c r="AB142" s="1" t="str">
        <f>IF(表1[[#This Row],[晚训后九次积分]]&lt;3,"少于3分"," ")</f>
        <v>少于3分</v>
      </c>
      <c r="AC142" s="1"/>
      <c r="AD142" s="1"/>
      <c r="AE142" s="1"/>
      <c r="AF142" s="1"/>
      <c r="AG142" s="1">
        <v>1</v>
      </c>
      <c r="AH142" s="1">
        <f>SUM(表1[[#This Row],[大运河]:[大杨山]])</f>
        <v>1</v>
      </c>
      <c r="AI142" s="1">
        <f>表1[[#This Row],[总拉练]]*2+表1[[#This Row],[总训练]]</f>
        <v>2</v>
      </c>
    </row>
    <row r="143" spans="1:35" x14ac:dyDescent="0.3">
      <c r="A143" t="s">
        <v>118</v>
      </c>
      <c r="C143" s="1">
        <v>0</v>
      </c>
      <c r="D143" s="1">
        <v>1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/>
      <c r="V143" s="1"/>
      <c r="W143" s="1"/>
      <c r="X143" s="1"/>
      <c r="Y143" s="1"/>
      <c r="Z143" s="1"/>
      <c r="AA143" s="1">
        <f>SUM(表1[[#This Row],[冬训14]:[冬训22]])</f>
        <v>0</v>
      </c>
      <c r="AB143" s="1" t="str">
        <f>IF(表1[[#This Row],[晚训后九次积分]]&lt;3,"少于3分"," ")</f>
        <v>少于3分</v>
      </c>
      <c r="AC143" s="1"/>
      <c r="AD143" s="1"/>
      <c r="AE143" s="1"/>
      <c r="AF143" s="1"/>
      <c r="AG143" s="1">
        <v>1</v>
      </c>
      <c r="AH143" s="1">
        <f>SUM(表1[[#This Row],[大运河]:[大杨山]])</f>
        <v>1</v>
      </c>
      <c r="AI143" s="1">
        <f>表1[[#This Row],[总拉练]]*2+表1[[#This Row],[总训练]]</f>
        <v>2</v>
      </c>
    </row>
    <row r="144" spans="1:35" x14ac:dyDescent="0.3">
      <c r="A144" t="s">
        <v>121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1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/>
      <c r="V144" s="1"/>
      <c r="W144" s="1"/>
      <c r="X144" s="1"/>
      <c r="Y144" s="1"/>
      <c r="Z144" s="1"/>
      <c r="AA144" s="1">
        <f>SUM(表1[[#This Row],[冬训14]:[冬训22]])</f>
        <v>0</v>
      </c>
      <c r="AB144" s="1" t="str">
        <f>IF(表1[[#This Row],[晚训后九次积分]]&lt;3,"少于3分"," ")</f>
        <v>少于3分</v>
      </c>
      <c r="AC144" s="1"/>
      <c r="AD144" s="1"/>
      <c r="AE144" s="1"/>
      <c r="AF144" s="1"/>
      <c r="AG144" s="1">
        <v>1</v>
      </c>
      <c r="AH144" s="1">
        <f>SUM(表1[[#This Row],[大运河]:[大杨山]])</f>
        <v>1</v>
      </c>
      <c r="AI144" s="1">
        <f>表1[[#This Row],[总拉练]]*2+表1[[#This Row],[总训练]]</f>
        <v>2</v>
      </c>
    </row>
    <row r="145" spans="1:35" x14ac:dyDescent="0.3">
      <c r="A145" t="s">
        <v>125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1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/>
      <c r="V145" s="1"/>
      <c r="W145" s="1"/>
      <c r="X145" s="1"/>
      <c r="Y145" s="1"/>
      <c r="Z145" s="1"/>
      <c r="AA145" s="1">
        <f>SUM(表1[[#This Row],[冬训14]:[冬训22]])</f>
        <v>0</v>
      </c>
      <c r="AB145" s="1" t="str">
        <f>IF(表1[[#This Row],[晚训后九次积分]]&lt;3,"少于3分"," ")</f>
        <v>少于3分</v>
      </c>
      <c r="AC145" s="1"/>
      <c r="AD145" s="1"/>
      <c r="AE145" s="1"/>
      <c r="AF145" s="1"/>
      <c r="AG145" s="1">
        <v>1</v>
      </c>
      <c r="AH145" s="1">
        <f>SUM(表1[[#This Row],[大运河]:[大杨山]])</f>
        <v>1</v>
      </c>
      <c r="AI145" s="1">
        <f>表1[[#This Row],[总拉练]]*2+表1[[#This Row],[总训练]]</f>
        <v>2</v>
      </c>
    </row>
    <row r="146" spans="1:35" x14ac:dyDescent="0.3">
      <c r="A146" t="s">
        <v>126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1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/>
      <c r="V146" s="1"/>
      <c r="W146" s="1"/>
      <c r="X146" s="1"/>
      <c r="Y146" s="1"/>
      <c r="Z146" s="1"/>
      <c r="AA146" s="1">
        <f>SUM(表1[[#This Row],[冬训14]:[冬训22]])</f>
        <v>0</v>
      </c>
      <c r="AB146" s="1" t="str">
        <f>IF(表1[[#This Row],[晚训后九次积分]]&lt;3,"少于3分"," ")</f>
        <v>少于3分</v>
      </c>
      <c r="AC146" s="1"/>
      <c r="AD146" s="1"/>
      <c r="AE146" s="1"/>
      <c r="AF146" s="1"/>
      <c r="AG146" s="1">
        <v>1</v>
      </c>
      <c r="AH146" s="1">
        <f>SUM(表1[[#This Row],[大运河]:[大杨山]])</f>
        <v>1</v>
      </c>
      <c r="AI146" s="1">
        <f>表1[[#This Row],[总拉练]]*2+表1[[#This Row],[总训练]]</f>
        <v>2</v>
      </c>
    </row>
    <row r="147" spans="1:35" x14ac:dyDescent="0.3">
      <c r="A147" t="s">
        <v>127</v>
      </c>
      <c r="C147" s="1">
        <v>0</v>
      </c>
      <c r="D147" s="1">
        <v>0</v>
      </c>
      <c r="E147" s="1">
        <v>0</v>
      </c>
      <c r="F147" s="1">
        <v>0</v>
      </c>
      <c r="G147" s="1">
        <v>1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/>
      <c r="V147" s="1"/>
      <c r="W147" s="1"/>
      <c r="X147" s="1"/>
      <c r="Y147" s="1"/>
      <c r="Z147" s="1"/>
      <c r="AA147" s="1">
        <f>SUM(表1[[#This Row],[冬训14]:[冬训22]])</f>
        <v>0</v>
      </c>
      <c r="AB147" s="1" t="str">
        <f>IF(表1[[#This Row],[晚训后九次积分]]&lt;3,"少于3分"," ")</f>
        <v>少于3分</v>
      </c>
      <c r="AC147" s="1"/>
      <c r="AD147" s="1"/>
      <c r="AE147" s="1"/>
      <c r="AF147" s="1"/>
      <c r="AG147" s="1">
        <v>1</v>
      </c>
      <c r="AH147" s="1">
        <f>SUM(表1[[#This Row],[大运河]:[大杨山]])</f>
        <v>1</v>
      </c>
      <c r="AI147" s="1">
        <f>表1[[#This Row],[总拉练]]*2+表1[[#This Row],[总训练]]</f>
        <v>2</v>
      </c>
    </row>
    <row r="148" spans="1:35" x14ac:dyDescent="0.3">
      <c r="A148" t="s">
        <v>130</v>
      </c>
      <c r="C148" s="1">
        <v>0</v>
      </c>
      <c r="D148" s="1">
        <v>0</v>
      </c>
      <c r="E148" s="1">
        <v>1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/>
      <c r="V148" s="1"/>
      <c r="W148" s="1"/>
      <c r="X148" s="1"/>
      <c r="Y148" s="1"/>
      <c r="Z148" s="1"/>
      <c r="AA148" s="1">
        <f>SUM(表1[[#This Row],[冬训14]:[冬训22]])</f>
        <v>0</v>
      </c>
      <c r="AB148" s="1" t="str">
        <f>IF(表1[[#This Row],[晚训后九次积分]]&lt;3,"少于3分"," ")</f>
        <v>少于3分</v>
      </c>
      <c r="AC148" s="1"/>
      <c r="AD148" s="1"/>
      <c r="AE148" s="1"/>
      <c r="AF148" s="1"/>
      <c r="AG148" s="1">
        <v>1</v>
      </c>
      <c r="AH148" s="1">
        <f>SUM(表1[[#This Row],[大运河]:[大杨山]])</f>
        <v>1</v>
      </c>
      <c r="AI148" s="1">
        <f>表1[[#This Row],[总拉练]]*2+表1[[#This Row],[总训练]]</f>
        <v>2</v>
      </c>
    </row>
    <row r="149" spans="1:35" x14ac:dyDescent="0.3">
      <c r="A149" t="s">
        <v>131</v>
      </c>
      <c r="C149" s="1">
        <v>0</v>
      </c>
      <c r="D149" s="1">
        <v>0</v>
      </c>
      <c r="E149" s="1">
        <v>1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/>
      <c r="V149" s="1"/>
      <c r="W149" s="1"/>
      <c r="X149" s="1"/>
      <c r="Y149" s="1"/>
      <c r="Z149" s="1"/>
      <c r="AA149" s="1">
        <f>SUM(表1[[#This Row],[冬训14]:[冬训22]])</f>
        <v>0</v>
      </c>
      <c r="AB149" s="1" t="str">
        <f>IF(表1[[#This Row],[晚训后九次积分]]&lt;3,"少于3分"," ")</f>
        <v>少于3分</v>
      </c>
      <c r="AC149" s="1"/>
      <c r="AD149" s="1"/>
      <c r="AE149" s="1"/>
      <c r="AF149" s="1"/>
      <c r="AG149" s="1">
        <v>1</v>
      </c>
      <c r="AH149" s="1">
        <f>SUM(表1[[#This Row],[大运河]:[大杨山]])</f>
        <v>1</v>
      </c>
      <c r="AI149" s="1">
        <f>表1[[#This Row],[总拉练]]*2+表1[[#This Row],[总训练]]</f>
        <v>2</v>
      </c>
    </row>
    <row r="150" spans="1:35" x14ac:dyDescent="0.3">
      <c r="A150" t="s">
        <v>132</v>
      </c>
      <c r="C150" s="1">
        <v>0</v>
      </c>
      <c r="D150" s="1">
        <v>1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/>
      <c r="V150" s="1"/>
      <c r="W150" s="1"/>
      <c r="X150" s="1"/>
      <c r="Y150" s="1"/>
      <c r="Z150" s="1"/>
      <c r="AA150" s="1">
        <f>SUM(表1[[#This Row],[冬训14]:[冬训22]])</f>
        <v>0</v>
      </c>
      <c r="AB150" s="1" t="str">
        <f>IF(表1[[#This Row],[晚训后九次积分]]&lt;3,"少于3分"," ")</f>
        <v>少于3分</v>
      </c>
      <c r="AC150" s="1"/>
      <c r="AD150" s="1"/>
      <c r="AE150" s="1"/>
      <c r="AF150" s="1"/>
      <c r="AG150" s="1">
        <v>1</v>
      </c>
      <c r="AH150" s="1">
        <f>SUM(表1[[#This Row],[大运河]:[大杨山]])</f>
        <v>1</v>
      </c>
      <c r="AI150" s="1">
        <f>表1[[#This Row],[总拉练]]*2+表1[[#This Row],[总训练]]</f>
        <v>2</v>
      </c>
    </row>
    <row r="151" spans="1:35" x14ac:dyDescent="0.3">
      <c r="A151" t="s">
        <v>133</v>
      </c>
      <c r="C151" s="1">
        <v>0</v>
      </c>
      <c r="D151" s="1">
        <v>1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/>
      <c r="V151" s="1"/>
      <c r="W151" s="1"/>
      <c r="X151" s="1"/>
      <c r="Y151" s="1"/>
      <c r="Z151" s="1"/>
      <c r="AA151" s="1">
        <f>SUM(表1[[#This Row],[冬训14]:[冬训22]])</f>
        <v>0</v>
      </c>
      <c r="AB151" s="1" t="str">
        <f>IF(表1[[#This Row],[晚训后九次积分]]&lt;3,"少于3分"," ")</f>
        <v>少于3分</v>
      </c>
      <c r="AC151" s="1"/>
      <c r="AD151" s="1"/>
      <c r="AE151" s="1"/>
      <c r="AF151" s="1"/>
      <c r="AG151" s="1">
        <v>1</v>
      </c>
      <c r="AH151" s="1">
        <f>SUM(表1[[#This Row],[大运河]:[大杨山]])</f>
        <v>1</v>
      </c>
      <c r="AI151" s="1">
        <f>表1[[#This Row],[总拉练]]*2+表1[[#This Row],[总训练]]</f>
        <v>2</v>
      </c>
    </row>
    <row r="152" spans="1:35" x14ac:dyDescent="0.3">
      <c r="A152" t="s">
        <v>138</v>
      </c>
      <c r="L152" s="1"/>
      <c r="M152" s="1">
        <v>1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/>
      <c r="V152" s="1"/>
      <c r="W152" s="1"/>
      <c r="X152" s="1"/>
      <c r="Y152" s="1"/>
      <c r="Z152" s="1"/>
      <c r="AA152" s="1">
        <f>SUM(表1[[#This Row],[冬训14]:[冬训22]])</f>
        <v>0</v>
      </c>
      <c r="AB152" s="1" t="str">
        <f>IF(表1[[#This Row],[晚训后九次积分]]&lt;3,"少于3分"," ")</f>
        <v>少于3分</v>
      </c>
      <c r="AC152" s="1"/>
      <c r="AD152" s="1"/>
      <c r="AE152" s="1"/>
      <c r="AF152" s="1"/>
      <c r="AG152" s="1">
        <v>1</v>
      </c>
      <c r="AH152" s="1">
        <f>SUM(表1[[#This Row],[大运河]:[大杨山]])</f>
        <v>1</v>
      </c>
      <c r="AI152" s="1">
        <f>表1[[#This Row],[总拉练]]*2+表1[[#This Row],[总训练]]</f>
        <v>2</v>
      </c>
    </row>
    <row r="153" spans="1:35" x14ac:dyDescent="0.3">
      <c r="A153" t="s">
        <v>148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1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/>
      <c r="V153" s="1"/>
      <c r="W153" s="1"/>
      <c r="X153" s="1"/>
      <c r="Y153" s="1"/>
      <c r="Z153" s="1"/>
      <c r="AA153" s="1">
        <f>SUM(表1[[#This Row],[冬训14]:[冬训22]])</f>
        <v>0</v>
      </c>
      <c r="AB153" s="1" t="str">
        <f>IF(表1[[#This Row],[晚训后九次积分]]&lt;3,"少于3分"," ")</f>
        <v>少于3分</v>
      </c>
      <c r="AC153" s="1"/>
      <c r="AD153" s="1"/>
      <c r="AE153" s="1"/>
      <c r="AF153" s="1"/>
      <c r="AG153" s="1">
        <v>1</v>
      </c>
      <c r="AH153" s="1">
        <f>SUM(表1[[#This Row],[大运河]:[大杨山]])</f>
        <v>1</v>
      </c>
      <c r="AI153" s="1">
        <f>表1[[#This Row],[总拉练]]*2+表1[[#This Row],[总训练]]</f>
        <v>2</v>
      </c>
    </row>
    <row r="154" spans="1:35" x14ac:dyDescent="0.3">
      <c r="A154" t="s">
        <v>149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1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/>
      <c r="V154" s="1"/>
      <c r="W154" s="1"/>
      <c r="X154" s="1"/>
      <c r="Y154" s="1"/>
      <c r="Z154" s="1"/>
      <c r="AA154" s="1">
        <f>SUM(表1[[#This Row],[冬训14]:[冬训22]])</f>
        <v>0</v>
      </c>
      <c r="AB154" s="1" t="str">
        <f>IF(表1[[#This Row],[晚训后九次积分]]&lt;3,"少于3分"," ")</f>
        <v>少于3分</v>
      </c>
      <c r="AC154" s="1"/>
      <c r="AD154" s="1"/>
      <c r="AE154" s="1"/>
      <c r="AF154" s="1"/>
      <c r="AG154" s="1">
        <v>1</v>
      </c>
      <c r="AH154" s="1">
        <f>SUM(表1[[#This Row],[大运河]:[大杨山]])</f>
        <v>1</v>
      </c>
      <c r="AI154" s="1">
        <f>表1[[#This Row],[总拉练]]*2+表1[[#This Row],[总训练]]</f>
        <v>2</v>
      </c>
    </row>
    <row r="155" spans="1:35" x14ac:dyDescent="0.3">
      <c r="A155" t="s">
        <v>115</v>
      </c>
      <c r="C155" s="1">
        <v>0.5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/>
      <c r="V155" s="1"/>
      <c r="W155" s="1"/>
      <c r="X155" s="1"/>
      <c r="Y155" s="1"/>
      <c r="Z155" s="1"/>
      <c r="AA155" s="1">
        <f>SUM(表1[[#This Row],[冬训14]:[冬训22]])</f>
        <v>0</v>
      </c>
      <c r="AB155" s="1" t="str">
        <f>IF(表1[[#This Row],[晚训后九次积分]]&lt;3,"少于3分"," ")</f>
        <v>少于3分</v>
      </c>
      <c r="AC155" s="1"/>
      <c r="AD155" s="1"/>
      <c r="AE155" s="1"/>
      <c r="AF155" s="1"/>
      <c r="AG155" s="1">
        <v>1</v>
      </c>
      <c r="AH155" s="1">
        <f>SUM(表1[[#This Row],[大运河]:[大杨山]])</f>
        <v>1</v>
      </c>
      <c r="AI155" s="1">
        <f>表1[[#This Row],[总拉练]]*2+表1[[#This Row],[总训练]]</f>
        <v>2</v>
      </c>
    </row>
    <row r="156" spans="1:35" x14ac:dyDescent="0.3">
      <c r="A156" t="s">
        <v>116</v>
      </c>
      <c r="C156" s="1">
        <v>0.5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/>
      <c r="V156" s="1"/>
      <c r="W156" s="1"/>
      <c r="X156" s="1"/>
      <c r="Y156" s="1"/>
      <c r="Z156" s="1"/>
      <c r="AA156" s="1">
        <f>SUM(表1[[#This Row],[冬训14]:[冬训22]])</f>
        <v>0</v>
      </c>
      <c r="AB156" s="1" t="str">
        <f>IF(表1[[#This Row],[晚训后九次积分]]&lt;3,"少于3分"," ")</f>
        <v>少于3分</v>
      </c>
      <c r="AC156" s="1"/>
      <c r="AD156" s="1"/>
      <c r="AE156" s="1"/>
      <c r="AF156" s="1"/>
      <c r="AG156" s="1">
        <v>1</v>
      </c>
      <c r="AH156" s="1">
        <f>SUM(表1[[#This Row],[大运河]:[大杨山]])</f>
        <v>1</v>
      </c>
      <c r="AI156" s="1">
        <f>表1[[#This Row],[总拉练]]*2+表1[[#This Row],[总训练]]</f>
        <v>2</v>
      </c>
    </row>
    <row r="157" spans="1:35" x14ac:dyDescent="0.3">
      <c r="A157" t="s">
        <v>171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8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x14ac:dyDescent="0.3">
      <c r="A158" t="s">
        <v>172</v>
      </c>
      <c r="T158" s="1"/>
      <c r="U158" s="1"/>
      <c r="V158" s="1"/>
    </row>
    <row r="159" spans="1:35" x14ac:dyDescent="0.3">
      <c r="A159" t="s">
        <v>173</v>
      </c>
      <c r="T159" s="1"/>
      <c r="U159" s="1"/>
      <c r="V159" s="1"/>
    </row>
    <row r="160" spans="1:35" x14ac:dyDescent="0.3">
      <c r="A160" t="s">
        <v>174</v>
      </c>
      <c r="T160" s="1"/>
      <c r="U160" s="1"/>
      <c r="V160" s="1"/>
    </row>
    <row r="161" spans="1:22" x14ac:dyDescent="0.3">
      <c r="A161" t="s">
        <v>175</v>
      </c>
      <c r="T161" s="1"/>
      <c r="U161" s="1"/>
      <c r="V161" s="1"/>
    </row>
    <row r="162" spans="1:22" x14ac:dyDescent="0.3">
      <c r="A162" t="s">
        <v>176</v>
      </c>
      <c r="T162" s="1"/>
      <c r="U162" s="1"/>
      <c r="V162" s="1"/>
    </row>
    <row r="163" spans="1:22" x14ac:dyDescent="0.3">
      <c r="A163" t="s">
        <v>177</v>
      </c>
      <c r="T163" s="1"/>
      <c r="U163" s="1"/>
      <c r="V163" s="1"/>
    </row>
    <row r="164" spans="1:22" x14ac:dyDescent="0.3">
      <c r="A164" t="s">
        <v>178</v>
      </c>
      <c r="T164" s="1"/>
      <c r="U164" s="1"/>
      <c r="V164" s="1"/>
    </row>
    <row r="165" spans="1:22" x14ac:dyDescent="0.3">
      <c r="A165" t="s">
        <v>179</v>
      </c>
      <c r="T165" s="1"/>
      <c r="U165" s="1"/>
      <c r="V165" s="1"/>
    </row>
    <row r="166" spans="1:22" x14ac:dyDescent="0.3">
      <c r="A166" t="s">
        <v>180</v>
      </c>
      <c r="T166" s="1"/>
      <c r="U166" s="1"/>
      <c r="V166" s="1"/>
    </row>
    <row r="167" spans="1:22" x14ac:dyDescent="0.3">
      <c r="A167" t="s">
        <v>182</v>
      </c>
      <c r="T167" s="1"/>
      <c r="U167" s="1"/>
      <c r="V167" s="1"/>
    </row>
    <row r="168" spans="1:22" x14ac:dyDescent="0.3">
      <c r="A168" t="s">
        <v>183</v>
      </c>
      <c r="T168" s="1"/>
      <c r="U168" s="1"/>
      <c r="V168" s="1"/>
    </row>
    <row r="169" spans="1:22" x14ac:dyDescent="0.3">
      <c r="A169" t="s">
        <v>184</v>
      </c>
      <c r="T169" s="1"/>
      <c r="U169" s="1"/>
      <c r="V169" s="1"/>
    </row>
    <row r="170" spans="1:22" x14ac:dyDescent="0.3">
      <c r="A170" t="s">
        <v>185</v>
      </c>
      <c r="T170" s="1"/>
      <c r="U170" s="1"/>
      <c r="V170" s="1"/>
    </row>
    <row r="171" spans="1:22" x14ac:dyDescent="0.3">
      <c r="A171" s="1">
        <v>3000</v>
      </c>
      <c r="T171" s="1">
        <v>1</v>
      </c>
      <c r="U171" s="1"/>
      <c r="V171" s="1"/>
    </row>
    <row r="172" spans="1:22" x14ac:dyDescent="0.3">
      <c r="A172" t="s">
        <v>186</v>
      </c>
      <c r="T172" s="1"/>
      <c r="U172" s="1"/>
      <c r="V172" s="1"/>
    </row>
    <row r="173" spans="1:22" x14ac:dyDescent="0.3">
      <c r="A173" t="s">
        <v>187</v>
      </c>
      <c r="T173" s="1"/>
      <c r="U173" s="1"/>
      <c r="V173" s="1"/>
    </row>
    <row r="174" spans="1:22" x14ac:dyDescent="0.3">
      <c r="A174" t="s">
        <v>188</v>
      </c>
      <c r="T174" s="1"/>
      <c r="U174" s="1"/>
      <c r="V174" s="1"/>
    </row>
    <row r="175" spans="1:22" x14ac:dyDescent="0.3">
      <c r="A175" t="s">
        <v>189</v>
      </c>
      <c r="T175" s="1"/>
      <c r="U175" s="1"/>
      <c r="V175" s="1">
        <v>1</v>
      </c>
    </row>
    <row r="176" spans="1:22" x14ac:dyDescent="0.3">
      <c r="A176" t="s">
        <v>212</v>
      </c>
      <c r="T176" s="1"/>
      <c r="U176" s="1"/>
      <c r="V176" s="1"/>
    </row>
    <row r="177" spans="1:22" x14ac:dyDescent="0.3">
      <c r="A177" t="s">
        <v>190</v>
      </c>
      <c r="T177" s="1"/>
      <c r="U177" s="1"/>
      <c r="V177" s="1">
        <v>1</v>
      </c>
    </row>
    <row r="178" spans="1:22" x14ac:dyDescent="0.3">
      <c r="A178" t="s">
        <v>191</v>
      </c>
      <c r="T178" s="1"/>
      <c r="U178" s="1"/>
      <c r="V178" s="1">
        <v>1</v>
      </c>
    </row>
    <row r="179" spans="1:22" x14ac:dyDescent="0.3">
      <c r="A179" t="s">
        <v>192</v>
      </c>
      <c r="T179" s="1"/>
      <c r="U179" s="1"/>
      <c r="V179" s="1">
        <v>1</v>
      </c>
    </row>
    <row r="180" spans="1:22" x14ac:dyDescent="0.3">
      <c r="A180" t="s">
        <v>201</v>
      </c>
      <c r="T180" s="1"/>
      <c r="U180" s="1">
        <v>1</v>
      </c>
      <c r="V180" s="1"/>
    </row>
    <row r="181" spans="1:22" x14ac:dyDescent="0.3">
      <c r="A181" t="s">
        <v>202</v>
      </c>
      <c r="U181">
        <v>1</v>
      </c>
    </row>
    <row r="182" spans="1:22" x14ac:dyDescent="0.3">
      <c r="A182" t="s">
        <v>203</v>
      </c>
      <c r="T182">
        <v>1</v>
      </c>
    </row>
    <row r="1048576" spans="22:22" x14ac:dyDescent="0.3">
      <c r="V1048576">
        <f>SUM(V175:V1048575)</f>
        <v>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1DD448-1C46-4F0D-9CBC-D11C31E4C9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刘竞源</dc:creator>
  <cp:lastModifiedBy>2632561924@qq.com</cp:lastModifiedBy>
  <cp:lastPrinted>2024-11-01T03:32:27Z</cp:lastPrinted>
  <dcterms:created xsi:type="dcterms:W3CDTF">2015-06-05T18:19:34Z</dcterms:created>
  <dcterms:modified xsi:type="dcterms:W3CDTF">2024-12-05T02:13:22Z</dcterms:modified>
</cp:coreProperties>
</file>