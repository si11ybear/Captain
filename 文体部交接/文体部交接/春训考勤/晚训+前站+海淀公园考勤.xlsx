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aodan/Desktop/春训考勤/"/>
    </mc:Choice>
  </mc:AlternateContent>
  <xr:revisionPtr revIDLastSave="0" documentId="13_ncr:1_{035435EF-CC5E-B04B-824C-341ED847BC3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utput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0" i="1" l="1"/>
  <c r="H130" i="1"/>
  <c r="G137" i="1"/>
  <c r="G129" i="1"/>
  <c r="H129" i="1"/>
  <c r="G128" i="1"/>
  <c r="K128" i="1" s="1"/>
  <c r="H128" i="1"/>
  <c r="H116" i="1"/>
  <c r="G6" i="1"/>
  <c r="H6" i="1"/>
  <c r="G3" i="1"/>
  <c r="H3" i="1"/>
  <c r="G5" i="1"/>
  <c r="H5" i="1"/>
  <c r="G7" i="1"/>
  <c r="H7" i="1"/>
  <c r="G4" i="1"/>
  <c r="H4" i="1"/>
  <c r="G19" i="1"/>
  <c r="H19" i="1"/>
  <c r="G12" i="1"/>
  <c r="H12" i="1"/>
  <c r="G28" i="1"/>
  <c r="H28" i="1"/>
  <c r="G9" i="1"/>
  <c r="H9" i="1"/>
  <c r="G20" i="1"/>
  <c r="H20" i="1"/>
  <c r="G29" i="1"/>
  <c r="H29" i="1"/>
  <c r="G21" i="1"/>
  <c r="H21" i="1"/>
  <c r="G13" i="1"/>
  <c r="H13" i="1"/>
  <c r="G14" i="1"/>
  <c r="H14" i="1"/>
  <c r="G24" i="1"/>
  <c r="H24" i="1"/>
  <c r="G33" i="1"/>
  <c r="H33" i="1"/>
  <c r="G18" i="1"/>
  <c r="H18" i="1"/>
  <c r="G41" i="1"/>
  <c r="H41" i="1"/>
  <c r="G42" i="1"/>
  <c r="H42" i="1"/>
  <c r="G27" i="1"/>
  <c r="H27" i="1"/>
  <c r="G25" i="1"/>
  <c r="H25" i="1"/>
  <c r="G61" i="1"/>
  <c r="H61" i="1"/>
  <c r="G43" i="1"/>
  <c r="H43" i="1"/>
  <c r="G16" i="1"/>
  <c r="H16" i="1"/>
  <c r="G32" i="1"/>
  <c r="H32" i="1"/>
  <c r="G26" i="1"/>
  <c r="H26" i="1"/>
  <c r="G17" i="1"/>
  <c r="H17" i="1"/>
  <c r="G69" i="1"/>
  <c r="H69" i="1"/>
  <c r="G45" i="1"/>
  <c r="H45" i="1"/>
  <c r="G23" i="1"/>
  <c r="H23" i="1"/>
  <c r="G38" i="1"/>
  <c r="H38" i="1"/>
  <c r="G22" i="1"/>
  <c r="H22" i="1"/>
  <c r="G39" i="1"/>
  <c r="H39" i="1"/>
  <c r="G8" i="1"/>
  <c r="H8" i="1"/>
  <c r="G34" i="1"/>
  <c r="H34" i="1"/>
  <c r="G31" i="1"/>
  <c r="H31" i="1"/>
  <c r="G10" i="1"/>
  <c r="H10" i="1"/>
  <c r="G11" i="1"/>
  <c r="H11" i="1"/>
  <c r="G58" i="1"/>
  <c r="H58" i="1"/>
  <c r="G15" i="1"/>
  <c r="H15" i="1"/>
  <c r="G50" i="1"/>
  <c r="H50" i="1"/>
  <c r="G46" i="1"/>
  <c r="H46" i="1"/>
  <c r="G47" i="1"/>
  <c r="H47" i="1"/>
  <c r="G66" i="1"/>
  <c r="H66" i="1"/>
  <c r="G59" i="1"/>
  <c r="H59" i="1"/>
  <c r="G51" i="1"/>
  <c r="H51" i="1"/>
  <c r="G30" i="1"/>
  <c r="H30" i="1"/>
  <c r="G62" i="1"/>
  <c r="H62" i="1"/>
  <c r="G36" i="1"/>
  <c r="H36" i="1"/>
  <c r="G53" i="1"/>
  <c r="H53" i="1"/>
  <c r="G68" i="1"/>
  <c r="H68" i="1"/>
  <c r="G65" i="1"/>
  <c r="H65" i="1"/>
  <c r="G60" i="1"/>
  <c r="H60" i="1"/>
  <c r="G56" i="1"/>
  <c r="H56" i="1"/>
  <c r="G48" i="1"/>
  <c r="H48" i="1"/>
  <c r="G52" i="1"/>
  <c r="H52" i="1"/>
  <c r="G37" i="1"/>
  <c r="H37" i="1"/>
  <c r="G55" i="1"/>
  <c r="H55" i="1"/>
  <c r="G63" i="1"/>
  <c r="H63" i="1"/>
  <c r="G67" i="1"/>
  <c r="H67" i="1"/>
  <c r="G44" i="1"/>
  <c r="H44" i="1"/>
  <c r="G40" i="1"/>
  <c r="H40" i="1"/>
  <c r="G54" i="1"/>
  <c r="H54" i="1"/>
  <c r="G57" i="1"/>
  <c r="H57" i="1"/>
  <c r="G76" i="1"/>
  <c r="H76" i="1"/>
  <c r="G72" i="1"/>
  <c r="H72" i="1"/>
  <c r="G73" i="1"/>
  <c r="H73" i="1"/>
  <c r="G49" i="1"/>
  <c r="H49" i="1"/>
  <c r="G88" i="1"/>
  <c r="H88" i="1"/>
  <c r="G74" i="1"/>
  <c r="H74" i="1"/>
  <c r="G83" i="1"/>
  <c r="H83" i="1"/>
  <c r="G71" i="1"/>
  <c r="H71" i="1"/>
  <c r="G64" i="1"/>
  <c r="H64" i="1"/>
  <c r="G35" i="1"/>
  <c r="H35" i="1"/>
  <c r="G159" i="1"/>
  <c r="H159" i="1"/>
  <c r="G131" i="1"/>
  <c r="H131" i="1"/>
  <c r="G79" i="1"/>
  <c r="H79" i="1"/>
  <c r="G80" i="1"/>
  <c r="H80" i="1"/>
  <c r="G70" i="1"/>
  <c r="H70" i="1"/>
  <c r="G160" i="1"/>
  <c r="H160" i="1"/>
  <c r="G132" i="1"/>
  <c r="H132" i="1"/>
  <c r="G102" i="1"/>
  <c r="H102" i="1"/>
  <c r="G103" i="1"/>
  <c r="H103" i="1"/>
  <c r="G81" i="1"/>
  <c r="H81" i="1"/>
  <c r="G89" i="1"/>
  <c r="H89" i="1"/>
  <c r="G94" i="1"/>
  <c r="H94" i="1"/>
  <c r="G75" i="1"/>
  <c r="H75" i="1"/>
  <c r="G77" i="1"/>
  <c r="H77" i="1"/>
  <c r="G84" i="1"/>
  <c r="H84" i="1"/>
  <c r="G161" i="1"/>
  <c r="H161" i="1"/>
  <c r="G109" i="1"/>
  <c r="H109" i="1"/>
  <c r="G162" i="1"/>
  <c r="H162" i="1"/>
  <c r="G85" i="1"/>
  <c r="H85" i="1"/>
  <c r="G86" i="1"/>
  <c r="H86" i="1"/>
  <c r="G133" i="1"/>
  <c r="H133" i="1"/>
  <c r="G95" i="1"/>
  <c r="H95" i="1"/>
  <c r="G134" i="1"/>
  <c r="H134" i="1"/>
  <c r="G135" i="1"/>
  <c r="H135" i="1"/>
  <c r="G136" i="1"/>
  <c r="H136" i="1"/>
  <c r="G104" i="1"/>
  <c r="H104" i="1"/>
  <c r="H137" i="1"/>
  <c r="G138" i="1"/>
  <c r="H138" i="1"/>
  <c r="G105" i="1"/>
  <c r="H105" i="1"/>
  <c r="G92" i="1"/>
  <c r="H92" i="1"/>
  <c r="G106" i="1"/>
  <c r="H106" i="1"/>
  <c r="G90" i="1"/>
  <c r="H90" i="1"/>
  <c r="G110" i="1"/>
  <c r="H110" i="1"/>
  <c r="G87" i="1"/>
  <c r="H87" i="1"/>
  <c r="G111" i="1"/>
  <c r="H111" i="1"/>
  <c r="G82" i="1"/>
  <c r="H82" i="1"/>
  <c r="G107" i="1"/>
  <c r="H107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12" i="1"/>
  <c r="H112" i="1"/>
  <c r="G139" i="1"/>
  <c r="H139" i="1"/>
  <c r="G140" i="1"/>
  <c r="H140" i="1"/>
  <c r="G141" i="1"/>
  <c r="H141" i="1"/>
  <c r="G78" i="1"/>
  <c r="H78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91" i="1"/>
  <c r="H91" i="1"/>
  <c r="G113" i="1"/>
  <c r="H113" i="1"/>
  <c r="G114" i="1"/>
  <c r="H114" i="1"/>
  <c r="G115" i="1"/>
  <c r="H115" i="1"/>
  <c r="G116" i="1"/>
  <c r="K116" i="1" s="1"/>
  <c r="G96" i="1"/>
  <c r="H96" i="1"/>
  <c r="G117" i="1"/>
  <c r="H117" i="1"/>
  <c r="G118" i="1"/>
  <c r="H118" i="1"/>
  <c r="G119" i="1"/>
  <c r="H119" i="1"/>
  <c r="G156" i="1"/>
  <c r="J156" i="1" s="1"/>
  <c r="H156" i="1"/>
  <c r="G108" i="1"/>
  <c r="K108" i="1" s="1"/>
  <c r="H108" i="1"/>
  <c r="G157" i="1"/>
  <c r="H157" i="1"/>
  <c r="G93" i="1"/>
  <c r="H93" i="1"/>
  <c r="G120" i="1"/>
  <c r="H120" i="1"/>
  <c r="G97" i="1"/>
  <c r="K97" i="1" s="1"/>
  <c r="H97" i="1"/>
  <c r="G121" i="1"/>
  <c r="H121" i="1"/>
  <c r="G98" i="1"/>
  <c r="H98" i="1"/>
  <c r="G122" i="1"/>
  <c r="H122" i="1"/>
  <c r="G123" i="1"/>
  <c r="K123" i="1" s="1"/>
  <c r="H123" i="1"/>
  <c r="G124" i="1"/>
  <c r="H124" i="1"/>
  <c r="G99" i="1"/>
  <c r="H99" i="1"/>
  <c r="G125" i="1"/>
  <c r="J125" i="1" s="1"/>
  <c r="H125" i="1"/>
  <c r="G101" i="1"/>
  <c r="H101" i="1"/>
  <c r="G126" i="1"/>
  <c r="H126" i="1"/>
  <c r="G100" i="1"/>
  <c r="H100" i="1"/>
  <c r="G127" i="1"/>
  <c r="H127" i="1"/>
  <c r="G158" i="1"/>
  <c r="H158" i="1"/>
  <c r="H2" i="1"/>
  <c r="G2" i="1"/>
  <c r="K130" i="1" l="1"/>
  <c r="I130" i="1"/>
  <c r="J130" i="1"/>
  <c r="K129" i="1"/>
  <c r="I123" i="1"/>
  <c r="L123" i="1" s="1"/>
  <c r="I108" i="1"/>
  <c r="L108" i="1" s="1"/>
  <c r="J129" i="1"/>
  <c r="K100" i="1"/>
  <c r="K98" i="1"/>
  <c r="K119" i="1"/>
  <c r="I101" i="1"/>
  <c r="I97" i="1"/>
  <c r="L97" i="1" s="1"/>
  <c r="I117" i="1"/>
  <c r="K99" i="1"/>
  <c r="K93" i="1"/>
  <c r="K126" i="1"/>
  <c r="K122" i="1"/>
  <c r="K157" i="1"/>
  <c r="I114" i="1"/>
  <c r="I150" i="1"/>
  <c r="I144" i="1"/>
  <c r="I173" i="1"/>
  <c r="I167" i="1"/>
  <c r="I87" i="1"/>
  <c r="J135" i="1"/>
  <c r="K135" i="1"/>
  <c r="J162" i="1"/>
  <c r="K162" i="1"/>
  <c r="J81" i="1"/>
  <c r="K81" i="1"/>
  <c r="J80" i="1"/>
  <c r="K80" i="1"/>
  <c r="J74" i="1"/>
  <c r="K74" i="1"/>
  <c r="J57" i="1"/>
  <c r="K57" i="1"/>
  <c r="K52" i="1"/>
  <c r="J52" i="1"/>
  <c r="K51" i="1"/>
  <c r="J51" i="1"/>
  <c r="J11" i="1"/>
  <c r="K11" i="1"/>
  <c r="J22" i="1"/>
  <c r="K22" i="1"/>
  <c r="K16" i="1"/>
  <c r="J16" i="1"/>
  <c r="J33" i="1"/>
  <c r="K33" i="1"/>
  <c r="J28" i="1"/>
  <c r="K28" i="1"/>
  <c r="J3" i="1"/>
  <c r="K3" i="1"/>
  <c r="J121" i="1"/>
  <c r="J157" i="1"/>
  <c r="J116" i="1"/>
  <c r="J152" i="1"/>
  <c r="K152" i="1"/>
  <c r="J146" i="1"/>
  <c r="K146" i="1"/>
  <c r="J141" i="1"/>
  <c r="K141" i="1"/>
  <c r="J173" i="1"/>
  <c r="K173" i="1"/>
  <c r="L173" i="1" s="1"/>
  <c r="J171" i="1"/>
  <c r="K171" i="1"/>
  <c r="J169" i="1"/>
  <c r="K169" i="1"/>
  <c r="J167" i="1"/>
  <c r="M167" i="1" s="1"/>
  <c r="K167" i="1"/>
  <c r="J165" i="1"/>
  <c r="K165" i="1"/>
  <c r="J163" i="1"/>
  <c r="K163" i="1"/>
  <c r="J82" i="1"/>
  <c r="K82" i="1"/>
  <c r="J87" i="1"/>
  <c r="K87" i="1"/>
  <c r="J90" i="1"/>
  <c r="K90" i="1"/>
  <c r="J92" i="1"/>
  <c r="K92" i="1"/>
  <c r="J138" i="1"/>
  <c r="K138" i="1"/>
  <c r="I136" i="1"/>
  <c r="I134" i="1"/>
  <c r="I133" i="1"/>
  <c r="I85" i="1"/>
  <c r="I109" i="1"/>
  <c r="I84" i="1"/>
  <c r="I75" i="1"/>
  <c r="I89" i="1"/>
  <c r="I103" i="1"/>
  <c r="I132" i="1"/>
  <c r="I70" i="1"/>
  <c r="I79" i="1"/>
  <c r="I159" i="1"/>
  <c r="I64" i="1"/>
  <c r="I83" i="1"/>
  <c r="I88" i="1"/>
  <c r="I73" i="1"/>
  <c r="I76" i="1"/>
  <c r="I54" i="1"/>
  <c r="I44" i="1"/>
  <c r="I63" i="1"/>
  <c r="I37" i="1"/>
  <c r="I48" i="1"/>
  <c r="I60" i="1"/>
  <c r="I68" i="1"/>
  <c r="I36" i="1"/>
  <c r="I30" i="1"/>
  <c r="I59" i="1"/>
  <c r="I47" i="1"/>
  <c r="I50" i="1"/>
  <c r="I58" i="1"/>
  <c r="I10" i="1"/>
  <c r="I34" i="1"/>
  <c r="I39" i="1"/>
  <c r="I38" i="1"/>
  <c r="I45" i="1"/>
  <c r="I17" i="1"/>
  <c r="I32" i="1"/>
  <c r="I43" i="1"/>
  <c r="I25" i="1"/>
  <c r="I42" i="1"/>
  <c r="I18" i="1"/>
  <c r="I24" i="1"/>
  <c r="I13" i="1"/>
  <c r="I29" i="1"/>
  <c r="I9" i="1"/>
  <c r="I12" i="1"/>
  <c r="I4" i="1"/>
  <c r="I5" i="1"/>
  <c r="I6" i="1"/>
  <c r="J128" i="1"/>
  <c r="I2" i="1"/>
  <c r="K2" i="1"/>
  <c r="K127" i="1"/>
  <c r="K124" i="1"/>
  <c r="K120" i="1"/>
  <c r="K96" i="1"/>
  <c r="I152" i="1"/>
  <c r="I146" i="1"/>
  <c r="I141" i="1"/>
  <c r="I169" i="1"/>
  <c r="I163" i="1"/>
  <c r="I90" i="1"/>
  <c r="I138" i="1"/>
  <c r="J86" i="1"/>
  <c r="K86" i="1"/>
  <c r="J94" i="1"/>
  <c r="K94" i="1"/>
  <c r="J131" i="1"/>
  <c r="K131" i="1"/>
  <c r="K49" i="1"/>
  <c r="J49" i="1"/>
  <c r="J40" i="1"/>
  <c r="K40" i="1"/>
  <c r="J56" i="1"/>
  <c r="K56" i="1"/>
  <c r="J62" i="1"/>
  <c r="K62" i="1"/>
  <c r="J46" i="1"/>
  <c r="K46" i="1"/>
  <c r="J8" i="1"/>
  <c r="K8" i="1"/>
  <c r="K26" i="1"/>
  <c r="J26" i="1"/>
  <c r="J27" i="1"/>
  <c r="K27" i="1"/>
  <c r="J21" i="1"/>
  <c r="K21" i="1"/>
  <c r="J7" i="1"/>
  <c r="K7" i="1"/>
  <c r="K137" i="1"/>
  <c r="J137" i="1"/>
  <c r="J91" i="1"/>
  <c r="K91" i="1"/>
  <c r="J150" i="1"/>
  <c r="M150" i="1" s="1"/>
  <c r="K150" i="1"/>
  <c r="J142" i="1"/>
  <c r="K142" i="1"/>
  <c r="J101" i="1"/>
  <c r="J98" i="1"/>
  <c r="J93" i="1"/>
  <c r="J117" i="1"/>
  <c r="I155" i="1"/>
  <c r="I149" i="1"/>
  <c r="I78" i="1"/>
  <c r="I172" i="1"/>
  <c r="I168" i="1"/>
  <c r="I107" i="1"/>
  <c r="I106" i="1"/>
  <c r="K136" i="1"/>
  <c r="L136" i="1" s="1"/>
  <c r="J136" i="1"/>
  <c r="K133" i="1"/>
  <c r="L133" i="1" s="1"/>
  <c r="J133" i="1"/>
  <c r="K84" i="1"/>
  <c r="J84" i="1"/>
  <c r="M84" i="1" s="1"/>
  <c r="K103" i="1"/>
  <c r="L103" i="1" s="1"/>
  <c r="J103" i="1"/>
  <c r="K70" i="1"/>
  <c r="L70" i="1" s="1"/>
  <c r="J70" i="1"/>
  <c r="K79" i="1"/>
  <c r="J79" i="1"/>
  <c r="M79" i="1" s="1"/>
  <c r="K64" i="1"/>
  <c r="J64" i="1"/>
  <c r="M64" i="1" s="1"/>
  <c r="K83" i="1"/>
  <c r="L83" i="1" s="1"/>
  <c r="J83" i="1"/>
  <c r="K88" i="1"/>
  <c r="J88" i="1"/>
  <c r="M88" i="1" s="1"/>
  <c r="J73" i="1"/>
  <c r="M73" i="1" s="1"/>
  <c r="K73" i="1"/>
  <c r="J76" i="1"/>
  <c r="K76" i="1"/>
  <c r="L76" i="1" s="1"/>
  <c r="K54" i="1"/>
  <c r="J54" i="1"/>
  <c r="J44" i="1"/>
  <c r="K44" i="1"/>
  <c r="L44" i="1" s="1"/>
  <c r="K63" i="1"/>
  <c r="L63" i="1" s="1"/>
  <c r="J63" i="1"/>
  <c r="J37" i="1"/>
  <c r="K37" i="1"/>
  <c r="L37" i="1" s="1"/>
  <c r="K48" i="1"/>
  <c r="L48" i="1" s="1"/>
  <c r="J48" i="1"/>
  <c r="K60" i="1"/>
  <c r="J60" i="1"/>
  <c r="M60" i="1" s="1"/>
  <c r="K68" i="1"/>
  <c r="L68" i="1" s="1"/>
  <c r="J68" i="1"/>
  <c r="K36" i="1"/>
  <c r="J36" i="1"/>
  <c r="M36" i="1" s="1"/>
  <c r="J30" i="1"/>
  <c r="M30" i="1" s="1"/>
  <c r="K30" i="1"/>
  <c r="J59" i="1"/>
  <c r="K59" i="1"/>
  <c r="L59" i="1" s="1"/>
  <c r="K47" i="1"/>
  <c r="L47" i="1" s="1"/>
  <c r="J47" i="1"/>
  <c r="K50" i="1"/>
  <c r="J50" i="1"/>
  <c r="M50" i="1" s="1"/>
  <c r="J58" i="1"/>
  <c r="M58" i="1" s="1"/>
  <c r="K58" i="1"/>
  <c r="K10" i="1"/>
  <c r="J10" i="1"/>
  <c r="M10" i="1" s="1"/>
  <c r="K34" i="1"/>
  <c r="L34" i="1" s="1"/>
  <c r="J34" i="1"/>
  <c r="K39" i="1"/>
  <c r="J39" i="1"/>
  <c r="M39" i="1" s="1"/>
  <c r="K38" i="1"/>
  <c r="L38" i="1" s="1"/>
  <c r="J38" i="1"/>
  <c r="K45" i="1"/>
  <c r="J45" i="1"/>
  <c r="M45" i="1" s="1"/>
  <c r="J17" i="1"/>
  <c r="M17" i="1" s="1"/>
  <c r="K17" i="1"/>
  <c r="J32" i="1"/>
  <c r="K32" i="1"/>
  <c r="L32" i="1" s="1"/>
  <c r="J43" i="1"/>
  <c r="M43" i="1" s="1"/>
  <c r="K43" i="1"/>
  <c r="K25" i="1"/>
  <c r="J25" i="1"/>
  <c r="M25" i="1" s="1"/>
  <c r="K42" i="1"/>
  <c r="L42" i="1" s="1"/>
  <c r="J42" i="1"/>
  <c r="K18" i="1"/>
  <c r="J18" i="1"/>
  <c r="M18" i="1" s="1"/>
  <c r="K24" i="1"/>
  <c r="L24" i="1" s="1"/>
  <c r="J24" i="1"/>
  <c r="K13" i="1"/>
  <c r="J13" i="1"/>
  <c r="M13" i="1" s="1"/>
  <c r="K29" i="1"/>
  <c r="L29" i="1" s="1"/>
  <c r="J29" i="1"/>
  <c r="K9" i="1"/>
  <c r="J9" i="1"/>
  <c r="M9" i="1" s="1"/>
  <c r="K12" i="1"/>
  <c r="L12" i="1" s="1"/>
  <c r="J12" i="1"/>
  <c r="K4" i="1"/>
  <c r="J4" i="1"/>
  <c r="M4" i="1" s="1"/>
  <c r="K5" i="1"/>
  <c r="L5" i="1" s="1"/>
  <c r="J5" i="1"/>
  <c r="K6" i="1"/>
  <c r="J6" i="1"/>
  <c r="M6" i="1" s="1"/>
  <c r="I129" i="1"/>
  <c r="I128" i="1"/>
  <c r="L128" i="1" s="1"/>
  <c r="J127" i="1"/>
  <c r="I100" i="1"/>
  <c r="K101" i="1"/>
  <c r="I99" i="1"/>
  <c r="J122" i="1"/>
  <c r="I98" i="1"/>
  <c r="J120" i="1"/>
  <c r="I93" i="1"/>
  <c r="I119" i="1"/>
  <c r="K117" i="1"/>
  <c r="J96" i="1"/>
  <c r="I116" i="1"/>
  <c r="L116" i="1" s="1"/>
  <c r="K158" i="1"/>
  <c r="K125" i="1"/>
  <c r="K121" i="1"/>
  <c r="K156" i="1"/>
  <c r="K118" i="1"/>
  <c r="I91" i="1"/>
  <c r="I154" i="1"/>
  <c r="I148" i="1"/>
  <c r="I142" i="1"/>
  <c r="I139" i="1"/>
  <c r="I171" i="1"/>
  <c r="I165" i="1"/>
  <c r="I82" i="1"/>
  <c r="I92" i="1"/>
  <c r="J104" i="1"/>
  <c r="K104" i="1"/>
  <c r="J95" i="1"/>
  <c r="K95" i="1"/>
  <c r="J161" i="1"/>
  <c r="K161" i="1"/>
  <c r="J77" i="1"/>
  <c r="K77" i="1"/>
  <c r="J102" i="1"/>
  <c r="K102" i="1"/>
  <c r="J160" i="1"/>
  <c r="K160" i="1"/>
  <c r="J35" i="1"/>
  <c r="K35" i="1"/>
  <c r="J71" i="1"/>
  <c r="K71" i="1"/>
  <c r="K72" i="1"/>
  <c r="J72" i="1"/>
  <c r="J67" i="1"/>
  <c r="K67" i="1"/>
  <c r="J55" i="1"/>
  <c r="K55" i="1"/>
  <c r="J65" i="1"/>
  <c r="K65" i="1"/>
  <c r="J53" i="1"/>
  <c r="K53" i="1"/>
  <c r="K66" i="1"/>
  <c r="J66" i="1"/>
  <c r="K15" i="1"/>
  <c r="J15" i="1"/>
  <c r="J31" i="1"/>
  <c r="K31" i="1"/>
  <c r="J23" i="1"/>
  <c r="K23" i="1"/>
  <c r="J69" i="1"/>
  <c r="K69" i="1"/>
  <c r="K61" i="1"/>
  <c r="J61" i="1"/>
  <c r="J41" i="1"/>
  <c r="K41" i="1"/>
  <c r="J14" i="1"/>
  <c r="K14" i="1"/>
  <c r="J20" i="1"/>
  <c r="K20" i="1"/>
  <c r="J19" i="1"/>
  <c r="K19" i="1"/>
  <c r="J158" i="1"/>
  <c r="J126" i="1"/>
  <c r="J124" i="1"/>
  <c r="J118" i="1"/>
  <c r="J114" i="1"/>
  <c r="K114" i="1"/>
  <c r="L114" i="1" s="1"/>
  <c r="J154" i="1"/>
  <c r="M154" i="1" s="1"/>
  <c r="K154" i="1"/>
  <c r="J148" i="1"/>
  <c r="K148" i="1"/>
  <c r="L148" i="1" s="1"/>
  <c r="J144" i="1"/>
  <c r="K144" i="1"/>
  <c r="L144" i="1" s="1"/>
  <c r="J139" i="1"/>
  <c r="K139" i="1"/>
  <c r="L139" i="1" s="1"/>
  <c r="J100" i="1"/>
  <c r="J99" i="1"/>
  <c r="M99" i="1" s="1"/>
  <c r="J123" i="1"/>
  <c r="J97" i="1"/>
  <c r="M97" i="1" s="1"/>
  <c r="J108" i="1"/>
  <c r="J119" i="1"/>
  <c r="I115" i="1"/>
  <c r="I113" i="1"/>
  <c r="I153" i="1"/>
  <c r="I151" i="1"/>
  <c r="I147" i="1"/>
  <c r="I145" i="1"/>
  <c r="I143" i="1"/>
  <c r="I140" i="1"/>
  <c r="I112" i="1"/>
  <c r="I170" i="1"/>
  <c r="I166" i="1"/>
  <c r="I164" i="1"/>
  <c r="I111" i="1"/>
  <c r="I110" i="1"/>
  <c r="I105" i="1"/>
  <c r="I137" i="1"/>
  <c r="K134" i="1"/>
  <c r="J134" i="1"/>
  <c r="K85" i="1"/>
  <c r="J85" i="1"/>
  <c r="K109" i="1"/>
  <c r="J109" i="1"/>
  <c r="M109" i="1" s="1"/>
  <c r="K75" i="1"/>
  <c r="J75" i="1"/>
  <c r="M75" i="1" s="1"/>
  <c r="K89" i="1"/>
  <c r="J89" i="1"/>
  <c r="K132" i="1"/>
  <c r="J132" i="1"/>
  <c r="K159" i="1"/>
  <c r="J159" i="1"/>
  <c r="M159" i="1" s="1"/>
  <c r="I158" i="1"/>
  <c r="I127" i="1"/>
  <c r="I126" i="1"/>
  <c r="I125" i="1"/>
  <c r="M125" i="1" s="1"/>
  <c r="I124" i="1"/>
  <c r="I122" i="1"/>
  <c r="I121" i="1"/>
  <c r="I120" i="1"/>
  <c r="I157" i="1"/>
  <c r="I156" i="1"/>
  <c r="M156" i="1" s="1"/>
  <c r="I118" i="1"/>
  <c r="I96" i="1"/>
  <c r="K115" i="1"/>
  <c r="L115" i="1" s="1"/>
  <c r="J115" i="1"/>
  <c r="K113" i="1"/>
  <c r="J113" i="1"/>
  <c r="M113" i="1" s="1"/>
  <c r="K155" i="1"/>
  <c r="J155" i="1"/>
  <c r="K153" i="1"/>
  <c r="J153" i="1"/>
  <c r="K151" i="1"/>
  <c r="J151" i="1"/>
  <c r="M151" i="1" s="1"/>
  <c r="K149" i="1"/>
  <c r="J149" i="1"/>
  <c r="M149" i="1" s="1"/>
  <c r="K147" i="1"/>
  <c r="L147" i="1" s="1"/>
  <c r="J147" i="1"/>
  <c r="K145" i="1"/>
  <c r="J145" i="1"/>
  <c r="M145" i="1" s="1"/>
  <c r="K143" i="1"/>
  <c r="L143" i="1" s="1"/>
  <c r="J143" i="1"/>
  <c r="K78" i="1"/>
  <c r="J78" i="1"/>
  <c r="K140" i="1"/>
  <c r="J140" i="1"/>
  <c r="M140" i="1" s="1"/>
  <c r="K112" i="1"/>
  <c r="L112" i="1" s="1"/>
  <c r="J112" i="1"/>
  <c r="K172" i="1"/>
  <c r="J172" i="1"/>
  <c r="M172" i="1" s="1"/>
  <c r="K170" i="1"/>
  <c r="J170" i="1"/>
  <c r="M170" i="1" s="1"/>
  <c r="K168" i="1"/>
  <c r="J168" i="1"/>
  <c r="K166" i="1"/>
  <c r="J166" i="1"/>
  <c r="K164" i="1"/>
  <c r="J164" i="1"/>
  <c r="M164" i="1" s="1"/>
  <c r="K107" i="1"/>
  <c r="J107" i="1"/>
  <c r="M107" i="1" s="1"/>
  <c r="K111" i="1"/>
  <c r="L111" i="1" s="1"/>
  <c r="J111" i="1"/>
  <c r="K110" i="1"/>
  <c r="J110" i="1"/>
  <c r="M110" i="1" s="1"/>
  <c r="K106" i="1"/>
  <c r="J106" i="1"/>
  <c r="K105" i="1"/>
  <c r="J105" i="1"/>
  <c r="I104" i="1"/>
  <c r="I135" i="1"/>
  <c r="I95" i="1"/>
  <c r="I86" i="1"/>
  <c r="I162" i="1"/>
  <c r="I161" i="1"/>
  <c r="I77" i="1"/>
  <c r="I94" i="1"/>
  <c r="I81" i="1"/>
  <c r="I102" i="1"/>
  <c r="I160" i="1"/>
  <c r="I80" i="1"/>
  <c r="I131" i="1"/>
  <c r="I35" i="1"/>
  <c r="I71" i="1"/>
  <c r="I74" i="1"/>
  <c r="I49" i="1"/>
  <c r="I72" i="1"/>
  <c r="I57" i="1"/>
  <c r="I40" i="1"/>
  <c r="I67" i="1"/>
  <c r="I55" i="1"/>
  <c r="I52" i="1"/>
  <c r="I56" i="1"/>
  <c r="I65" i="1"/>
  <c r="I53" i="1"/>
  <c r="I62" i="1"/>
  <c r="I51" i="1"/>
  <c r="I66" i="1"/>
  <c r="I46" i="1"/>
  <c r="I15" i="1"/>
  <c r="I11" i="1"/>
  <c r="I31" i="1"/>
  <c r="I8" i="1"/>
  <c r="I22" i="1"/>
  <c r="I23" i="1"/>
  <c r="I69" i="1"/>
  <c r="I26" i="1"/>
  <c r="I16" i="1"/>
  <c r="I61" i="1"/>
  <c r="I27" i="1"/>
  <c r="I41" i="1"/>
  <c r="I33" i="1"/>
  <c r="I14" i="1"/>
  <c r="I21" i="1"/>
  <c r="I20" i="1"/>
  <c r="I28" i="1"/>
  <c r="I19" i="1"/>
  <c r="I7" i="1"/>
  <c r="I3" i="1"/>
  <c r="J2" i="1"/>
  <c r="L105" i="1" l="1"/>
  <c r="L166" i="1"/>
  <c r="L153" i="1"/>
  <c r="L87" i="1"/>
  <c r="L172" i="1"/>
  <c r="L159" i="1"/>
  <c r="L109" i="1"/>
  <c r="M108" i="1"/>
  <c r="M144" i="1"/>
  <c r="M12" i="1"/>
  <c r="M29" i="1"/>
  <c r="M24" i="1"/>
  <c r="M42" i="1"/>
  <c r="L107" i="1"/>
  <c r="L149" i="1"/>
  <c r="N149" i="1" s="1"/>
  <c r="L75" i="1"/>
  <c r="M114" i="1"/>
  <c r="M139" i="1"/>
  <c r="M148" i="1"/>
  <c r="L43" i="1"/>
  <c r="L17" i="1"/>
  <c r="M38" i="1"/>
  <c r="L58" i="1"/>
  <c r="N58" i="1" s="1"/>
  <c r="M47" i="1"/>
  <c r="L30" i="1"/>
  <c r="M68" i="1"/>
  <c r="M48" i="1"/>
  <c r="L73" i="1"/>
  <c r="M83" i="1"/>
  <c r="M70" i="1"/>
  <c r="M103" i="1"/>
  <c r="M133" i="1"/>
  <c r="M136" i="1"/>
  <c r="L167" i="1"/>
  <c r="M130" i="1"/>
  <c r="L130" i="1"/>
  <c r="M63" i="1"/>
  <c r="M5" i="1"/>
  <c r="L54" i="1"/>
  <c r="M54" i="1"/>
  <c r="M34" i="1"/>
  <c r="L117" i="1"/>
  <c r="L2" i="1"/>
  <c r="M2" i="1"/>
  <c r="M119" i="1"/>
  <c r="M117" i="1"/>
  <c r="M168" i="1"/>
  <c r="M78" i="1"/>
  <c r="M155" i="1"/>
  <c r="M132" i="1"/>
  <c r="M89" i="1"/>
  <c r="M85" i="1"/>
  <c r="M134" i="1"/>
  <c r="M106" i="1"/>
  <c r="M105" i="1"/>
  <c r="M111" i="1"/>
  <c r="M166" i="1"/>
  <c r="M112" i="1"/>
  <c r="M143" i="1"/>
  <c r="M147" i="1"/>
  <c r="M153" i="1"/>
  <c r="M115" i="1"/>
  <c r="M101" i="1"/>
  <c r="M126" i="1"/>
  <c r="M69" i="1"/>
  <c r="M31" i="1"/>
  <c r="L15" i="1"/>
  <c r="L66" i="1"/>
  <c r="M65" i="1"/>
  <c r="M67" i="1"/>
  <c r="M71" i="1"/>
  <c r="M160" i="1"/>
  <c r="M77" i="1"/>
  <c r="M95" i="1"/>
  <c r="M104" i="1"/>
  <c r="L118" i="1"/>
  <c r="L121" i="1"/>
  <c r="L158" i="1"/>
  <c r="M93" i="1"/>
  <c r="M91" i="1"/>
  <c r="M7" i="1"/>
  <c r="M21" i="1"/>
  <c r="M27" i="1"/>
  <c r="M62" i="1"/>
  <c r="L49" i="1"/>
  <c r="M131" i="1"/>
  <c r="L124" i="1"/>
  <c r="L138" i="1"/>
  <c r="L92" i="1"/>
  <c r="L163" i="1"/>
  <c r="L165" i="1"/>
  <c r="L141" i="1"/>
  <c r="L152" i="1"/>
  <c r="M116" i="1"/>
  <c r="L28" i="1"/>
  <c r="L33" i="1"/>
  <c r="M16" i="1"/>
  <c r="L22" i="1"/>
  <c r="M52" i="1"/>
  <c r="L57" i="1"/>
  <c r="L81" i="1"/>
  <c r="L162" i="1"/>
  <c r="L157" i="1"/>
  <c r="L126" i="1"/>
  <c r="M19" i="1"/>
  <c r="L61" i="1"/>
  <c r="L72" i="1"/>
  <c r="M102" i="1"/>
  <c r="M8" i="1"/>
  <c r="M56" i="1"/>
  <c r="L146" i="1"/>
  <c r="L3" i="1"/>
  <c r="M158" i="1"/>
  <c r="M122" i="1"/>
  <c r="M127" i="1"/>
  <c r="N17" i="1"/>
  <c r="N30" i="1"/>
  <c r="M129" i="1"/>
  <c r="M20" i="1"/>
  <c r="M142" i="1"/>
  <c r="M46" i="1"/>
  <c r="M40" i="1"/>
  <c r="M94" i="1"/>
  <c r="L96" i="1"/>
  <c r="M51" i="1"/>
  <c r="L80" i="1"/>
  <c r="L135" i="1"/>
  <c r="L100" i="1"/>
  <c r="N97" i="1"/>
  <c r="L106" i="1"/>
  <c r="L110" i="1"/>
  <c r="L140" i="1"/>
  <c r="L113" i="1"/>
  <c r="L85" i="1"/>
  <c r="M123" i="1"/>
  <c r="N123" i="1" s="1"/>
  <c r="L20" i="1"/>
  <c r="L41" i="1"/>
  <c r="L23" i="1"/>
  <c r="M15" i="1"/>
  <c r="L65" i="1"/>
  <c r="L67" i="1"/>
  <c r="L35" i="1"/>
  <c r="L102" i="1"/>
  <c r="L95" i="1"/>
  <c r="L6" i="1"/>
  <c r="L4" i="1"/>
  <c r="L9" i="1"/>
  <c r="L13" i="1"/>
  <c r="L18" i="1"/>
  <c r="L39" i="1"/>
  <c r="L10" i="1"/>
  <c r="L36" i="1"/>
  <c r="M37" i="1"/>
  <c r="M76" i="1"/>
  <c r="L88" i="1"/>
  <c r="L64" i="1"/>
  <c r="L79" i="1"/>
  <c r="L84" i="1"/>
  <c r="M98" i="1"/>
  <c r="L142" i="1"/>
  <c r="L150" i="1"/>
  <c r="L91" i="1"/>
  <c r="M137" i="1"/>
  <c r="L7" i="1"/>
  <c r="L21" i="1"/>
  <c r="L27" i="1"/>
  <c r="M26" i="1"/>
  <c r="L8" i="1"/>
  <c r="L46" i="1"/>
  <c r="L62" i="1"/>
  <c r="L56" i="1"/>
  <c r="L40" i="1"/>
  <c r="M49" i="1"/>
  <c r="L131" i="1"/>
  <c r="L94" i="1"/>
  <c r="L86" i="1"/>
  <c r="L120" i="1"/>
  <c r="L127" i="1"/>
  <c r="M128" i="1"/>
  <c r="M138" i="1"/>
  <c r="M92" i="1"/>
  <c r="M90" i="1"/>
  <c r="M87" i="1"/>
  <c r="M82" i="1"/>
  <c r="M163" i="1"/>
  <c r="M165" i="1"/>
  <c r="M169" i="1"/>
  <c r="M171" i="1"/>
  <c r="M173" i="1"/>
  <c r="M141" i="1"/>
  <c r="M146" i="1"/>
  <c r="M152" i="1"/>
  <c r="M157" i="1"/>
  <c r="M3" i="1"/>
  <c r="M28" i="1"/>
  <c r="M33" i="1"/>
  <c r="L16" i="1"/>
  <c r="M22" i="1"/>
  <c r="M11" i="1"/>
  <c r="L51" i="1"/>
  <c r="L52" i="1"/>
  <c r="M57" i="1"/>
  <c r="M74" i="1"/>
  <c r="M80" i="1"/>
  <c r="M81" i="1"/>
  <c r="M162" i="1"/>
  <c r="M135" i="1"/>
  <c r="L122" i="1"/>
  <c r="L93" i="1"/>
  <c r="L119" i="1"/>
  <c r="L129" i="1"/>
  <c r="M14" i="1"/>
  <c r="M41" i="1"/>
  <c r="M23" i="1"/>
  <c r="M53" i="1"/>
  <c r="M55" i="1"/>
  <c r="M35" i="1"/>
  <c r="M161" i="1"/>
  <c r="L137" i="1"/>
  <c r="L26" i="1"/>
  <c r="M86" i="1"/>
  <c r="L90" i="1"/>
  <c r="L82" i="1"/>
  <c r="L169" i="1"/>
  <c r="L171" i="1"/>
  <c r="L11" i="1"/>
  <c r="L74" i="1"/>
  <c r="L164" i="1"/>
  <c r="L168" i="1"/>
  <c r="L170" i="1"/>
  <c r="L78" i="1"/>
  <c r="L145" i="1"/>
  <c r="L151" i="1"/>
  <c r="L155" i="1"/>
  <c r="L132" i="1"/>
  <c r="L89" i="1"/>
  <c r="L134" i="1"/>
  <c r="M100" i="1"/>
  <c r="L154" i="1"/>
  <c r="M118" i="1"/>
  <c r="L19" i="1"/>
  <c r="L14" i="1"/>
  <c r="M61" i="1"/>
  <c r="L69" i="1"/>
  <c r="L31" i="1"/>
  <c r="M66" i="1"/>
  <c r="L53" i="1"/>
  <c r="L55" i="1"/>
  <c r="M72" i="1"/>
  <c r="L71" i="1"/>
  <c r="L160" i="1"/>
  <c r="L77" i="1"/>
  <c r="L161" i="1"/>
  <c r="L104" i="1"/>
  <c r="L156" i="1"/>
  <c r="L125" i="1"/>
  <c r="L25" i="1"/>
  <c r="M32" i="1"/>
  <c r="L45" i="1"/>
  <c r="L50" i="1"/>
  <c r="M59" i="1"/>
  <c r="L60" i="1"/>
  <c r="M44" i="1"/>
  <c r="M124" i="1"/>
  <c r="M96" i="1"/>
  <c r="M120" i="1"/>
  <c r="L101" i="1"/>
  <c r="N48" i="1"/>
  <c r="M121" i="1"/>
  <c r="L99" i="1"/>
  <c r="N99" i="1" s="1"/>
  <c r="L98" i="1"/>
  <c r="N98" i="1" l="1"/>
  <c r="N112" i="1"/>
  <c r="N43" i="1"/>
  <c r="N167" i="1"/>
  <c r="N73" i="1"/>
  <c r="N109" i="1"/>
  <c r="N108" i="1"/>
  <c r="N63" i="1"/>
  <c r="N34" i="1"/>
  <c r="N148" i="1"/>
  <c r="N136" i="1"/>
  <c r="N147" i="1"/>
  <c r="N129" i="1"/>
  <c r="N2" i="1"/>
  <c r="N130" i="1"/>
  <c r="N87" i="1"/>
  <c r="N119" i="1"/>
  <c r="N103" i="1"/>
  <c r="N29" i="1"/>
  <c r="N74" i="1"/>
  <c r="N82" i="1"/>
  <c r="N26" i="1"/>
  <c r="N32" i="1"/>
  <c r="N66" i="1"/>
  <c r="N117" i="1"/>
  <c r="N38" i="1"/>
  <c r="N68" i="1"/>
  <c r="N12" i="1"/>
  <c r="N144" i="1"/>
  <c r="N159" i="1"/>
  <c r="N153" i="1"/>
  <c r="N166" i="1"/>
  <c r="N70" i="1"/>
  <c r="N114" i="1"/>
  <c r="N75" i="1"/>
  <c r="N172" i="1"/>
  <c r="N93" i="1"/>
  <c r="N118" i="1"/>
  <c r="N141" i="1"/>
  <c r="N126" i="1"/>
  <c r="N105" i="1"/>
  <c r="N44" i="1"/>
  <c r="N163" i="1"/>
  <c r="N92" i="1"/>
  <c r="N49" i="1"/>
  <c r="N37" i="1"/>
  <c r="N152" i="1"/>
  <c r="N81" i="1"/>
  <c r="N173" i="1"/>
  <c r="N165" i="1"/>
  <c r="N28" i="1"/>
  <c r="N137" i="1"/>
  <c r="N33" i="1"/>
  <c r="N138" i="1"/>
  <c r="N157" i="1"/>
  <c r="N83" i="1"/>
  <c r="N47" i="1"/>
  <c r="N42" i="1"/>
  <c r="N5" i="1"/>
  <c r="N107" i="1"/>
  <c r="N133" i="1"/>
  <c r="N54" i="1"/>
  <c r="N24" i="1"/>
  <c r="N116" i="1"/>
  <c r="N121" i="1"/>
  <c r="N139" i="1"/>
  <c r="N115" i="1"/>
  <c r="N143" i="1"/>
  <c r="N57" i="1"/>
  <c r="N15" i="1"/>
  <c r="N111" i="1"/>
  <c r="N101" i="1"/>
  <c r="N124" i="1"/>
  <c r="N59" i="1"/>
  <c r="N11" i="1"/>
  <c r="N171" i="1"/>
  <c r="N90" i="1"/>
  <c r="N128" i="1"/>
  <c r="N169" i="1"/>
  <c r="N162" i="1"/>
  <c r="N22" i="1"/>
  <c r="N76" i="1"/>
  <c r="N158" i="1"/>
  <c r="N60" i="1"/>
  <c r="N161" i="1"/>
  <c r="N31" i="1"/>
  <c r="N19" i="1"/>
  <c r="N89" i="1"/>
  <c r="N151" i="1"/>
  <c r="N78" i="1"/>
  <c r="N164" i="1"/>
  <c r="N127" i="1"/>
  <c r="N131" i="1"/>
  <c r="N62" i="1"/>
  <c r="N27" i="1"/>
  <c r="N91" i="1"/>
  <c r="N88" i="1"/>
  <c r="N10" i="1"/>
  <c r="N13" i="1"/>
  <c r="N95" i="1"/>
  <c r="N65" i="1"/>
  <c r="N20" i="1"/>
  <c r="N85" i="1"/>
  <c r="N96" i="1"/>
  <c r="N146" i="1"/>
  <c r="N45" i="1"/>
  <c r="N125" i="1"/>
  <c r="N77" i="1"/>
  <c r="N55" i="1"/>
  <c r="N69" i="1"/>
  <c r="N132" i="1"/>
  <c r="N52" i="1"/>
  <c r="N16" i="1"/>
  <c r="N120" i="1"/>
  <c r="N46" i="1"/>
  <c r="N21" i="1"/>
  <c r="N150" i="1"/>
  <c r="N79" i="1"/>
  <c r="N39" i="1"/>
  <c r="N9" i="1"/>
  <c r="N102" i="1"/>
  <c r="N110" i="1"/>
  <c r="N100" i="1"/>
  <c r="N135" i="1"/>
  <c r="N72" i="1"/>
  <c r="N156" i="1"/>
  <c r="N160" i="1"/>
  <c r="N53" i="1"/>
  <c r="N154" i="1"/>
  <c r="N134" i="1"/>
  <c r="N145" i="1"/>
  <c r="N170" i="1"/>
  <c r="N122" i="1"/>
  <c r="N51" i="1"/>
  <c r="N86" i="1"/>
  <c r="N40" i="1"/>
  <c r="N8" i="1"/>
  <c r="N7" i="1"/>
  <c r="N142" i="1"/>
  <c r="N84" i="1"/>
  <c r="N64" i="1"/>
  <c r="N36" i="1"/>
  <c r="N4" i="1"/>
  <c r="N35" i="1"/>
  <c r="N23" i="1"/>
  <c r="N140" i="1"/>
  <c r="N106" i="1"/>
  <c r="N80" i="1"/>
  <c r="N61" i="1"/>
  <c r="N50" i="1"/>
  <c r="N25" i="1"/>
  <c r="N104" i="1"/>
  <c r="N71" i="1"/>
  <c r="N14" i="1"/>
  <c r="N155" i="1"/>
  <c r="N168" i="1"/>
  <c r="N94" i="1"/>
  <c r="N56" i="1"/>
  <c r="N18" i="1"/>
  <c r="N6" i="1"/>
  <c r="N67" i="1"/>
  <c r="N41" i="1"/>
  <c r="N113" i="1"/>
  <c r="N3" i="1"/>
</calcChain>
</file>

<file path=xl/sharedStrings.xml><?xml version="1.0" encoding="utf-8"?>
<sst xmlns="http://schemas.openxmlformats.org/spreadsheetml/2006/main" count="355" uniqueCount="354">
  <si>
    <t>六爻</t>
  </si>
  <si>
    <t>刘畅</t>
  </si>
  <si>
    <t>长河</t>
  </si>
  <si>
    <t>杨济远</t>
  </si>
  <si>
    <t>乘一</t>
  </si>
  <si>
    <t>刘祉煦</t>
  </si>
  <si>
    <t>劳模</t>
  </si>
  <si>
    <t>何维</t>
  </si>
  <si>
    <t>森云</t>
  </si>
  <si>
    <t>王梓桐</t>
  </si>
  <si>
    <t>XL</t>
  </si>
  <si>
    <t>马小林</t>
  </si>
  <si>
    <t>问道</t>
  </si>
  <si>
    <t>张道文</t>
  </si>
  <si>
    <t>上线</t>
  </si>
  <si>
    <t>郭慜琦</t>
  </si>
  <si>
    <t>山楂卷</t>
  </si>
  <si>
    <t>虢中奇</t>
  </si>
  <si>
    <t>小绿</t>
  </si>
  <si>
    <t>马京岳</t>
  </si>
  <si>
    <t>十月</t>
  </si>
  <si>
    <t>古明阳</t>
  </si>
  <si>
    <t>夜颂</t>
  </si>
  <si>
    <t>王博安</t>
  </si>
  <si>
    <t>Kathy</t>
  </si>
  <si>
    <t>闵吴美</t>
  </si>
  <si>
    <t>依古比古</t>
  </si>
  <si>
    <t>翟宇航</t>
  </si>
  <si>
    <t>大文</t>
  </si>
  <si>
    <t>邹慕文</t>
  </si>
  <si>
    <t>晓阳</t>
  </si>
  <si>
    <t>杨卓恺</t>
  </si>
  <si>
    <t>月饼咸</t>
  </si>
  <si>
    <t>赵小瑶</t>
  </si>
  <si>
    <t>蓝</t>
  </si>
  <si>
    <t>陈东昊</t>
  </si>
  <si>
    <t>圆</t>
  </si>
  <si>
    <t>刘雨恩</t>
  </si>
  <si>
    <t>Tom</t>
  </si>
  <si>
    <t>徐艺峰</t>
  </si>
  <si>
    <t>蓝毛仔</t>
  </si>
  <si>
    <t>莫云鹤</t>
  </si>
  <si>
    <t>飞蝶</t>
  </si>
  <si>
    <t>杜汶芮</t>
  </si>
  <si>
    <t>三改火</t>
  </si>
  <si>
    <t>赵泽奇</t>
  </si>
  <si>
    <t>小酒</t>
  </si>
  <si>
    <t>傅靓</t>
  </si>
  <si>
    <t>Ao</t>
  </si>
  <si>
    <t>仇傲</t>
  </si>
  <si>
    <t>惊棠</t>
  </si>
  <si>
    <t>李伊然</t>
  </si>
  <si>
    <t>cc</t>
  </si>
  <si>
    <t>徐艺溶</t>
  </si>
  <si>
    <t>几木</t>
  </si>
  <si>
    <t>郭盈诺</t>
  </si>
  <si>
    <t>猪丸</t>
  </si>
  <si>
    <t>谢来恩</t>
  </si>
  <si>
    <t>fengwu</t>
  </si>
  <si>
    <t>彭乙桐</t>
  </si>
  <si>
    <t>小仓鼠</t>
  </si>
  <si>
    <t>鄢奕昭</t>
  </si>
  <si>
    <t>愚宫</t>
  </si>
  <si>
    <t>宫玉栋</t>
  </si>
  <si>
    <t>acce</t>
  </si>
  <si>
    <t>齐乐辰</t>
  </si>
  <si>
    <t>table</t>
  </si>
  <si>
    <t>陈卓</t>
  </si>
  <si>
    <t>徐行</t>
  </si>
  <si>
    <t>李小彤</t>
  </si>
  <si>
    <t>Ricky</t>
  </si>
  <si>
    <t>李昱麒</t>
  </si>
  <si>
    <t>purple rain</t>
  </si>
  <si>
    <t>张伟男</t>
  </si>
  <si>
    <t>诺有缸</t>
  </si>
  <si>
    <t>高荣淦</t>
  </si>
  <si>
    <t>郭导</t>
  </si>
  <si>
    <t>郭奕凯</t>
  </si>
  <si>
    <t>emily</t>
  </si>
  <si>
    <t>程天</t>
  </si>
  <si>
    <t>Sophia</t>
  </si>
  <si>
    <t>李牧桐</t>
  </si>
  <si>
    <t>踏月</t>
  </si>
  <si>
    <t>王予墨</t>
  </si>
  <si>
    <t>温瑶</t>
  </si>
  <si>
    <t>李蒋一</t>
  </si>
  <si>
    <t>雪风</t>
  </si>
  <si>
    <t>朱鼎</t>
  </si>
  <si>
    <t>辰羽</t>
  </si>
  <si>
    <t>吴振翔</t>
  </si>
  <si>
    <t>blackchen</t>
  </si>
  <si>
    <t>王瑞辰</t>
  </si>
  <si>
    <t>非鱼</t>
  </si>
  <si>
    <t>谢子瑜</t>
  </si>
  <si>
    <t>晚风</t>
  </si>
  <si>
    <t>黄章毅</t>
  </si>
  <si>
    <t>红枫</t>
  </si>
  <si>
    <t>王绍华</t>
  </si>
  <si>
    <t>烟火</t>
  </si>
  <si>
    <t>韩申贤</t>
  </si>
  <si>
    <t>lqq</t>
  </si>
  <si>
    <t>刘青</t>
  </si>
  <si>
    <t>ZC</t>
  </si>
  <si>
    <t>王晓杨</t>
  </si>
  <si>
    <t>六三</t>
  </si>
  <si>
    <t>刘思睿</t>
  </si>
  <si>
    <t>椰汁</t>
  </si>
  <si>
    <t>张晓倩</t>
  </si>
  <si>
    <t>红色拖拉机</t>
  </si>
  <si>
    <t>赵瑄</t>
  </si>
  <si>
    <t>月霜</t>
  </si>
  <si>
    <t>胡心月</t>
  </si>
  <si>
    <t>石市黄三</t>
  </si>
  <si>
    <t>王易会</t>
  </si>
  <si>
    <t>孙绍翔</t>
  </si>
  <si>
    <t>水龙</t>
  </si>
  <si>
    <t>龙泉霖</t>
  </si>
  <si>
    <t>牛肉汤圆</t>
  </si>
  <si>
    <t>刘竞源</t>
  </si>
  <si>
    <t>橘猫</t>
  </si>
  <si>
    <t>刘庆航</t>
  </si>
  <si>
    <t>红蓝</t>
  </si>
  <si>
    <t>李佳宸</t>
  </si>
  <si>
    <t>飞舟</t>
  </si>
  <si>
    <t>关涛</t>
  </si>
  <si>
    <t>好蛋</t>
  </si>
  <si>
    <t>张颢丹</t>
  </si>
  <si>
    <t>三里</t>
  </si>
  <si>
    <t>范心语</t>
  </si>
  <si>
    <t>自迩</t>
  </si>
  <si>
    <t>赵楚邯</t>
  </si>
  <si>
    <t xml:space="preserve">faltered </t>
  </si>
  <si>
    <t>梁行健</t>
  </si>
  <si>
    <t>长螺丝</t>
  </si>
  <si>
    <t>陈文逸</t>
  </si>
  <si>
    <t>小笨熊</t>
  </si>
  <si>
    <t>李健宁</t>
  </si>
  <si>
    <t>极速Zoom</t>
  </si>
  <si>
    <t>范宸宁</t>
  </si>
  <si>
    <t>芊叶</t>
  </si>
  <si>
    <t>王琴</t>
  </si>
  <si>
    <t>华为</t>
  </si>
  <si>
    <t>William Vickery</t>
  </si>
  <si>
    <t>司亮</t>
  </si>
  <si>
    <t>李嘉伟</t>
  </si>
  <si>
    <t>卡拜</t>
  </si>
  <si>
    <t>唐睿程</t>
  </si>
  <si>
    <t>炒饼饼</t>
  </si>
  <si>
    <t>许文灏</t>
  </si>
  <si>
    <t>浅言</t>
  </si>
  <si>
    <t>钱沿</t>
  </si>
  <si>
    <t>菜汪</t>
  </si>
  <si>
    <t>赵梓霖</t>
  </si>
  <si>
    <t>小面包</t>
  </si>
  <si>
    <t>李修怡</t>
  </si>
  <si>
    <t>wdx</t>
  </si>
  <si>
    <t>吴东兴</t>
  </si>
  <si>
    <t>ox酱</t>
  </si>
  <si>
    <t>牛致阳</t>
  </si>
  <si>
    <t>系综</t>
  </si>
  <si>
    <t>蔡则宇</t>
  </si>
  <si>
    <t>玛卡巴卡233</t>
  </si>
  <si>
    <t>张文昊</t>
  </si>
  <si>
    <t>彩笔</t>
  </si>
  <si>
    <t>刘晓磊</t>
  </si>
  <si>
    <t>kx</t>
  </si>
  <si>
    <t>袁晓坤</t>
  </si>
  <si>
    <t>水鸟.</t>
  </si>
  <si>
    <t>王天翼</t>
  </si>
  <si>
    <t>阿笨</t>
  </si>
  <si>
    <t>严子隽</t>
  </si>
  <si>
    <t>菜叶子</t>
  </si>
  <si>
    <t>蔡加琦</t>
  </si>
  <si>
    <t>云清</t>
  </si>
  <si>
    <t>夏关清</t>
  </si>
  <si>
    <t>忘忧</t>
  </si>
  <si>
    <t>魏煜航</t>
  </si>
  <si>
    <t>zhaojiyun</t>
  </si>
  <si>
    <t>赵冀昀</t>
  </si>
  <si>
    <t>牛奶雪糕</t>
  </si>
  <si>
    <t>霍思梁</t>
  </si>
  <si>
    <t>余割</t>
  </si>
  <si>
    <t>陈少春</t>
  </si>
  <si>
    <t>陌离</t>
  </si>
  <si>
    <t>秦慕予</t>
  </si>
  <si>
    <t>奶油小狗</t>
  </si>
  <si>
    <t>谢美琳</t>
  </si>
  <si>
    <t>沐阳</t>
  </si>
  <si>
    <t>杨文枫</t>
  </si>
  <si>
    <t>字节</t>
  </si>
  <si>
    <t>樊子颉</t>
  </si>
  <si>
    <t>华年</t>
  </si>
  <si>
    <t>余博涵</t>
  </si>
  <si>
    <t>药丸</t>
  </si>
  <si>
    <t>姚婉姮</t>
  </si>
  <si>
    <t>Real_Roller</t>
  </si>
  <si>
    <t>赵思淇</t>
  </si>
  <si>
    <t>泰勒</t>
  </si>
  <si>
    <t>周志盛</t>
  </si>
  <si>
    <t>逡巡</t>
  </si>
  <si>
    <t>李一萌</t>
  </si>
  <si>
    <t>四季</t>
  </si>
  <si>
    <t>李炆泽</t>
  </si>
  <si>
    <t>方俊</t>
  </si>
  <si>
    <t>春</t>
  </si>
  <si>
    <t>李宇涵</t>
  </si>
  <si>
    <t>雾路</t>
  </si>
  <si>
    <t>曹三省</t>
  </si>
  <si>
    <t>有趣的大螃蟹</t>
  </si>
  <si>
    <t>王苗</t>
  </si>
  <si>
    <t>烤笛</t>
  </si>
  <si>
    <t>崔文嘉</t>
  </si>
  <si>
    <t>冰苎</t>
  </si>
  <si>
    <t>黄天宏</t>
  </si>
  <si>
    <t>白马</t>
  </si>
  <si>
    <t>武昱达</t>
  </si>
  <si>
    <t>青鸟</t>
  </si>
  <si>
    <t>王坡</t>
  </si>
  <si>
    <t>橡皮.</t>
  </si>
  <si>
    <t>赵湘萍</t>
  </si>
  <si>
    <t>我好困</t>
  </si>
  <si>
    <t>梁函熙</t>
  </si>
  <si>
    <t>kkk</t>
  </si>
  <si>
    <t>叶文静</t>
  </si>
  <si>
    <t>Bayagod</t>
  </si>
  <si>
    <t>白优特清</t>
  </si>
  <si>
    <t>Kiki</t>
  </si>
  <si>
    <t>于之涵</t>
  </si>
  <si>
    <t>小熊🐻</t>
  </si>
  <si>
    <t>熊颖洁</t>
  </si>
  <si>
    <t>里拉</t>
  </si>
  <si>
    <t>徐梦溪</t>
  </si>
  <si>
    <t>脉动</t>
  </si>
  <si>
    <t>宋昊阳</t>
  </si>
  <si>
    <t>度假期</t>
  </si>
  <si>
    <t>杜嘉骐</t>
  </si>
  <si>
    <t>大心</t>
  </si>
  <si>
    <t>朱晓丽</t>
  </si>
  <si>
    <t>新闻与传播学院</t>
  </si>
  <si>
    <t>张一涵</t>
  </si>
  <si>
    <t>Jerry</t>
  </si>
  <si>
    <t>谢宸栋</t>
  </si>
  <si>
    <t>朱金霖</t>
  </si>
  <si>
    <t>梧桐.</t>
  </si>
  <si>
    <t>吴文锜</t>
  </si>
  <si>
    <t>永麓</t>
  </si>
  <si>
    <t>肖子尧</t>
  </si>
  <si>
    <t>spiderman</t>
  </si>
  <si>
    <t>曹睿涵</t>
  </si>
  <si>
    <t>公交车</t>
  </si>
  <si>
    <t>龚嘉敖</t>
  </si>
  <si>
    <t>游乐</t>
  </si>
  <si>
    <t>谢秉奇</t>
  </si>
  <si>
    <t>燕麦</t>
  </si>
  <si>
    <t>沈婧伊</t>
  </si>
  <si>
    <t>问津</t>
  </si>
  <si>
    <t>王玮杰</t>
  </si>
  <si>
    <t>颠颠</t>
  </si>
  <si>
    <t>张知晗</t>
  </si>
  <si>
    <t>赵飞</t>
  </si>
  <si>
    <t>电泳旅行者</t>
  </si>
  <si>
    <t>刘乙泽</t>
  </si>
  <si>
    <t>柚青</t>
  </si>
  <si>
    <t>姚炜浩</t>
  </si>
  <si>
    <t>啊啊啊签错了尴尬</t>
  </si>
  <si>
    <t>王颢萌</t>
  </si>
  <si>
    <t>晙晖</t>
  </si>
  <si>
    <t>张嘉航</t>
  </si>
  <si>
    <t>天意</t>
  </si>
  <si>
    <t>周知勤</t>
  </si>
  <si>
    <t>梦城</t>
  </si>
  <si>
    <t>王理乐</t>
  </si>
  <si>
    <t>立夏</t>
  </si>
  <si>
    <t>周晋飞</t>
  </si>
  <si>
    <t>咋肥四鸭</t>
  </si>
  <si>
    <t>吴敬一</t>
  </si>
  <si>
    <t>沙砾</t>
  </si>
  <si>
    <t>刘丽莎</t>
  </si>
  <si>
    <t>九刀</t>
  </si>
  <si>
    <t>张代健</t>
  </si>
  <si>
    <t>牛筋丸</t>
  </si>
  <si>
    <t>潘美洁</t>
  </si>
  <si>
    <t>AD钙</t>
  </si>
  <si>
    <t>赵一杰</t>
  </si>
  <si>
    <t>鹤临</t>
  </si>
  <si>
    <t>黄昌健</t>
  </si>
  <si>
    <t>飞歌</t>
  </si>
  <si>
    <t>刘滢</t>
  </si>
  <si>
    <t>果子</t>
  </si>
  <si>
    <t>武李果</t>
  </si>
  <si>
    <t>风吟</t>
  </si>
  <si>
    <t>叶风灿</t>
  </si>
  <si>
    <t>speeding</t>
  </si>
  <si>
    <t>陈嘉树</t>
  </si>
  <si>
    <t>好香！</t>
  </si>
  <si>
    <t>陈浩翔</t>
  </si>
  <si>
    <t>萝卟头</t>
  </si>
  <si>
    <t>罗西</t>
  </si>
  <si>
    <t>不突</t>
  </si>
  <si>
    <t>未知1</t>
  </si>
  <si>
    <t>大圣</t>
  </si>
  <si>
    <t>孙洪楷</t>
  </si>
  <si>
    <t>番茄Jhon</t>
  </si>
  <si>
    <t>未知2</t>
  </si>
  <si>
    <t>栖风</t>
  </si>
  <si>
    <t>萤火ovo</t>
  </si>
  <si>
    <t>未知4</t>
  </si>
  <si>
    <t>南希</t>
  </si>
  <si>
    <t>赵茜</t>
  </si>
  <si>
    <t>跳跳</t>
  </si>
  <si>
    <t>杨亦宽</t>
  </si>
  <si>
    <t>林晓</t>
  </si>
  <si>
    <t>王翊冰</t>
  </si>
  <si>
    <t>拍子</t>
  </si>
  <si>
    <t>陶豫</t>
  </si>
  <si>
    <t>支原体</t>
  </si>
  <si>
    <t>任致远</t>
  </si>
  <si>
    <t>杰杰</t>
  </si>
  <si>
    <t>彭乃杰</t>
  </si>
  <si>
    <t>流浪猫</t>
  </si>
  <si>
    <t>刘黎明</t>
  </si>
  <si>
    <t>分子云</t>
  </si>
  <si>
    <t>刘翰溥</t>
  </si>
  <si>
    <t>小林</t>
  </si>
  <si>
    <t>李一恒</t>
  </si>
  <si>
    <t>薯片</t>
  </si>
  <si>
    <t>解攀峰</t>
  </si>
  <si>
    <t>彤彤</t>
  </si>
  <si>
    <t>侯依彤</t>
  </si>
  <si>
    <t>纹水</t>
  </si>
  <si>
    <t>韩泓波</t>
  </si>
  <si>
    <t>纸鹤</t>
  </si>
  <si>
    <t>沈之赫</t>
  </si>
  <si>
    <t>ID</t>
    <phoneticPr fontId="18" type="noConversion"/>
  </si>
  <si>
    <t>姓名</t>
    <phoneticPr fontId="18" type="noConversion"/>
  </si>
  <si>
    <t>前十次</t>
    <phoneticPr fontId="18" type="noConversion"/>
  </si>
  <si>
    <t>后八次</t>
    <phoneticPr fontId="18" type="noConversion"/>
  </si>
  <si>
    <t>海淀公园</t>
    <phoneticPr fontId="18" type="noConversion"/>
  </si>
  <si>
    <t>总次数</t>
    <phoneticPr fontId="18" type="noConversion"/>
  </si>
  <si>
    <t>后八次次数</t>
    <phoneticPr fontId="18" type="noConversion"/>
  </si>
  <si>
    <t>前站数</t>
    <phoneticPr fontId="18" type="noConversion"/>
  </si>
  <si>
    <t>大于等于11</t>
    <phoneticPr fontId="18" type="noConversion"/>
  </si>
  <si>
    <t>大于等于9</t>
    <phoneticPr fontId="18" type="noConversion"/>
  </si>
  <si>
    <t>后八次大于等于4</t>
    <phoneticPr fontId="18" type="noConversion"/>
  </si>
  <si>
    <t>秋小果</t>
  </si>
  <si>
    <t>陈一杭</t>
  </si>
  <si>
    <t>团子2号</t>
    <phoneticPr fontId="18" type="noConversion"/>
  </si>
  <si>
    <t>庞义瑶</t>
  </si>
  <si>
    <t>通过</t>
    <phoneticPr fontId="18" type="noConversion"/>
  </si>
  <si>
    <t>王玮</t>
    <phoneticPr fontId="18" type="noConversion"/>
  </si>
  <si>
    <t>如果通过一次春训或冬训则通过</t>
    <phoneticPr fontId="18" type="noConversion"/>
  </si>
  <si>
    <t>level</t>
    <phoneticPr fontId="18" type="noConversion"/>
  </si>
  <si>
    <t>明非</t>
    <phoneticPr fontId="18" type="noConversion"/>
  </si>
  <si>
    <t>张祺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</si>
</sst>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3"/>
  <sheetViews>
    <sheetView tabSelected="1" workbookViewId="0">
      <selection activeCell="F10" sqref="F10"/>
    </sheetView>
  </sheetViews>
  <sheetFormatPr baseColWidth="10" defaultRowHeight="16"/>
  <cols>
    <col min="1" max="8" width="10.83203125" style="1"/>
    <col min="9" max="9" width="16.6640625" style="1" customWidth="1"/>
    <col min="10" max="10" width="14" style="1" customWidth="1"/>
    <col min="11" max="11" width="12.6640625" style="1" customWidth="1"/>
    <col min="12" max="12" width="7.33203125" style="1" customWidth="1"/>
    <col min="13" max="13" width="9.6640625" style="1" customWidth="1"/>
    <col min="14" max="14" width="10.83203125" style="1"/>
  </cols>
  <sheetData>
    <row r="1" spans="1:14">
      <c r="A1" s="1" t="s">
        <v>333</v>
      </c>
      <c r="B1" s="1" t="s">
        <v>334</v>
      </c>
      <c r="C1" s="1" t="s">
        <v>335</v>
      </c>
      <c r="D1" s="1" t="s">
        <v>336</v>
      </c>
      <c r="E1" s="1" t="s">
        <v>337</v>
      </c>
      <c r="F1" s="1" t="s">
        <v>340</v>
      </c>
      <c r="G1" s="1" t="s">
        <v>338</v>
      </c>
      <c r="H1" s="1" t="s">
        <v>339</v>
      </c>
      <c r="I1" s="1" t="s">
        <v>343</v>
      </c>
      <c r="J1" s="1" t="s">
        <v>342</v>
      </c>
      <c r="K1" s="1" t="s">
        <v>341</v>
      </c>
      <c r="L1" s="1" t="s">
        <v>348</v>
      </c>
      <c r="M1" s="1" t="s">
        <v>350</v>
      </c>
      <c r="N1" s="1" t="s">
        <v>351</v>
      </c>
    </row>
    <row r="2" spans="1:14">
      <c r="A2" s="1" t="s">
        <v>0</v>
      </c>
      <c r="B2" s="1" t="s">
        <v>1</v>
      </c>
      <c r="C2" s="1">
        <v>10</v>
      </c>
      <c r="D2" s="1">
        <v>8</v>
      </c>
      <c r="E2" s="1">
        <v>1</v>
      </c>
      <c r="F2" s="1">
        <v>1</v>
      </c>
      <c r="G2" s="1">
        <f>C2+D2+MIN(E2,4)+F2</f>
        <v>20</v>
      </c>
      <c r="H2" s="1">
        <f>D2+MIN(E2+F2,1)</f>
        <v>9</v>
      </c>
      <c r="I2" s="1">
        <f>IF(H2&gt;=4, 1, 0)</f>
        <v>1</v>
      </c>
      <c r="J2" s="1">
        <f>IF(G2&gt;=9, 1, 0)</f>
        <v>1</v>
      </c>
      <c r="K2" s="1">
        <f>IF(G2&gt;=11, 1, 0)</f>
        <v>1</v>
      </c>
      <c r="L2" s="1">
        <f>IF(K2+I2&gt;=2, 1, 0)</f>
        <v>1</v>
      </c>
      <c r="M2" s="1">
        <f>IF(J2+I2&gt;=2, 1, 0)</f>
        <v>1</v>
      </c>
      <c r="N2" s="1">
        <f>SUM(L2:M2)</f>
        <v>2</v>
      </c>
    </row>
    <row r="3" spans="1:14">
      <c r="A3" s="1" t="s">
        <v>4</v>
      </c>
      <c r="B3" s="1" t="s">
        <v>5</v>
      </c>
      <c r="C3" s="1">
        <v>10</v>
      </c>
      <c r="D3" s="1">
        <v>8</v>
      </c>
      <c r="E3" s="1">
        <v>0</v>
      </c>
      <c r="F3" s="1">
        <v>1</v>
      </c>
      <c r="G3" s="1">
        <f>C3+D3+MIN(E3,4)+F3</f>
        <v>19</v>
      </c>
      <c r="H3" s="1">
        <f>D3+MIN(E3+F3,1)</f>
        <v>9</v>
      </c>
      <c r="I3" s="1">
        <f>IF(H3&gt;=4, 1, 0)</f>
        <v>1</v>
      </c>
      <c r="J3" s="1">
        <f>IF(G3&gt;=9, 1, 0)</f>
        <v>1</v>
      </c>
      <c r="K3" s="1">
        <f>IF(G3&gt;=11, 1, 0)</f>
        <v>1</v>
      </c>
      <c r="L3" s="1">
        <f>IF(K3+I3&gt;=2, 1, 0)</f>
        <v>1</v>
      </c>
      <c r="M3" s="1">
        <f>IF(J3+I3&gt;=2, 1, 0)</f>
        <v>1</v>
      </c>
      <c r="N3" s="1">
        <f>SUM(L3:M3)</f>
        <v>2</v>
      </c>
    </row>
    <row r="4" spans="1:14">
      <c r="A4" s="1" t="s">
        <v>10</v>
      </c>
      <c r="B4" s="1" t="s">
        <v>11</v>
      </c>
      <c r="C4" s="1">
        <v>8</v>
      </c>
      <c r="D4" s="1">
        <v>7</v>
      </c>
      <c r="E4" s="1">
        <v>3</v>
      </c>
      <c r="G4" s="1">
        <f>C4+D4+MIN(E4,4)+F4</f>
        <v>18</v>
      </c>
      <c r="H4" s="1">
        <f>D4+MIN(E4+F4,1)</f>
        <v>8</v>
      </c>
      <c r="I4" s="1">
        <f>IF(H4&gt;=4, 1, 0)</f>
        <v>1</v>
      </c>
      <c r="J4" s="1">
        <f>IF(G4&gt;=9, 1, 0)</f>
        <v>1</v>
      </c>
      <c r="K4" s="1">
        <f>IF(G4&gt;=11, 1, 0)</f>
        <v>1</v>
      </c>
      <c r="L4" s="1">
        <f>IF(K4+I4&gt;=2, 1, 0)</f>
        <v>1</v>
      </c>
      <c r="M4" s="1">
        <f>IF(J4+I4&gt;=2, 1, 0)</f>
        <v>1</v>
      </c>
      <c r="N4" s="1">
        <f>SUM(L4:M4)</f>
        <v>2</v>
      </c>
    </row>
    <row r="5" spans="1:14">
      <c r="A5" s="1" t="s">
        <v>6</v>
      </c>
      <c r="B5" s="1" t="s">
        <v>7</v>
      </c>
      <c r="C5" s="1">
        <v>8.5</v>
      </c>
      <c r="D5" s="1">
        <v>5</v>
      </c>
      <c r="E5" s="1">
        <v>3</v>
      </c>
      <c r="F5" s="1">
        <v>1</v>
      </c>
      <c r="G5" s="1">
        <f>C5+D5+MIN(E5,4)+F5</f>
        <v>17.5</v>
      </c>
      <c r="H5" s="1">
        <f>D5+MIN(E5+F5,1)</f>
        <v>6</v>
      </c>
      <c r="I5" s="1">
        <f>IF(H5&gt;=4, 1, 0)</f>
        <v>1</v>
      </c>
      <c r="J5" s="1">
        <f>IF(G5&gt;=9, 1, 0)</f>
        <v>1</v>
      </c>
      <c r="K5" s="1">
        <f>IF(G5&gt;=11, 1, 0)</f>
        <v>1</v>
      </c>
      <c r="L5" s="1">
        <f>IF(K5+I5&gt;=2, 1, 0)</f>
        <v>1</v>
      </c>
      <c r="M5" s="1">
        <f>IF(J5+I5&gt;=2, 1, 0)</f>
        <v>1</v>
      </c>
      <c r="N5" s="1">
        <f>SUM(L5:M5)</f>
        <v>2</v>
      </c>
    </row>
    <row r="6" spans="1:14">
      <c r="A6" s="1" t="s">
        <v>2</v>
      </c>
      <c r="B6" s="1" t="s">
        <v>3</v>
      </c>
      <c r="C6" s="1">
        <v>9</v>
      </c>
      <c r="D6" s="1">
        <v>7</v>
      </c>
      <c r="E6" s="1">
        <v>0</v>
      </c>
      <c r="F6" s="1">
        <v>1</v>
      </c>
      <c r="G6" s="1">
        <f>C6+D6+MIN(E6,4)+F6</f>
        <v>17</v>
      </c>
      <c r="H6" s="1">
        <f>D6+MIN(E6+F6,1)</f>
        <v>8</v>
      </c>
      <c r="I6" s="1">
        <f>IF(H6&gt;=4, 1, 0)</f>
        <v>1</v>
      </c>
      <c r="J6" s="1">
        <f>IF(G6&gt;=9, 1, 0)</f>
        <v>1</v>
      </c>
      <c r="K6" s="1">
        <f>IF(G6&gt;=11, 1, 0)</f>
        <v>1</v>
      </c>
      <c r="L6" s="1">
        <f>IF(K6+I6&gt;=2, 1, 0)</f>
        <v>1</v>
      </c>
      <c r="M6" s="1">
        <f>IF(J6+I6&gt;=2, 1, 0)</f>
        <v>1</v>
      </c>
      <c r="N6" s="1">
        <f>SUM(L6:M6)</f>
        <v>2</v>
      </c>
    </row>
    <row r="7" spans="1:14">
      <c r="A7" s="1" t="s">
        <v>8</v>
      </c>
      <c r="B7" s="1" t="s">
        <v>9</v>
      </c>
      <c r="C7" s="1">
        <v>8</v>
      </c>
      <c r="D7" s="1">
        <v>6</v>
      </c>
      <c r="E7" s="1">
        <v>1</v>
      </c>
      <c r="F7" s="1">
        <v>2</v>
      </c>
      <c r="G7" s="1">
        <f>C7+D7+MIN(E7,4)+F7</f>
        <v>17</v>
      </c>
      <c r="H7" s="1">
        <f>D7+MIN(E7+F7,1)</f>
        <v>7</v>
      </c>
      <c r="I7" s="1">
        <f>IF(H7&gt;=4, 1, 0)</f>
        <v>1</v>
      </c>
      <c r="J7" s="1">
        <f>IF(G7&gt;=9, 1, 0)</f>
        <v>1</v>
      </c>
      <c r="K7" s="1">
        <f>IF(G7&gt;=11, 1, 0)</f>
        <v>1</v>
      </c>
      <c r="L7" s="1">
        <f>IF(K7+I7&gt;=2, 1, 0)</f>
        <v>1</v>
      </c>
      <c r="M7" s="1">
        <f>IF(J7+I7&gt;=2, 1, 0)</f>
        <v>1</v>
      </c>
      <c r="N7" s="1">
        <f>SUM(L7:M7)</f>
        <v>2</v>
      </c>
    </row>
    <row r="8" spans="1:14">
      <c r="A8" s="1" t="s">
        <v>68</v>
      </c>
      <c r="B8" s="1" t="s">
        <v>69</v>
      </c>
      <c r="C8" s="1">
        <v>3</v>
      </c>
      <c r="D8" s="1">
        <v>7</v>
      </c>
      <c r="E8" s="1">
        <v>4</v>
      </c>
      <c r="F8" s="1">
        <v>1</v>
      </c>
      <c r="G8" s="1">
        <f>C8+D8+MIN(E8,4)+F8</f>
        <v>15</v>
      </c>
      <c r="H8" s="1">
        <f>D8+MIN(E8+F8,1)</f>
        <v>8</v>
      </c>
      <c r="I8" s="1">
        <f>IF(H8&gt;=4, 1, 0)</f>
        <v>1</v>
      </c>
      <c r="J8" s="1">
        <f>IF(G8&gt;=9, 1, 0)</f>
        <v>1</v>
      </c>
      <c r="K8" s="1">
        <f>IF(G8&gt;=11, 1, 0)</f>
        <v>1</v>
      </c>
      <c r="L8" s="1">
        <f>IF(K8+I8&gt;=2, 1, 0)</f>
        <v>1</v>
      </c>
      <c r="M8" s="1">
        <f>IF(J8+I8&gt;=2, 1, 0)</f>
        <v>1</v>
      </c>
      <c r="N8" s="1">
        <f>SUM(L8:M8)</f>
        <v>2</v>
      </c>
    </row>
    <row r="9" spans="1:14">
      <c r="A9" s="1" t="s">
        <v>18</v>
      </c>
      <c r="B9" s="1" t="s">
        <v>19</v>
      </c>
      <c r="C9" s="1">
        <v>8</v>
      </c>
      <c r="D9" s="1">
        <v>5</v>
      </c>
      <c r="E9" s="1">
        <v>1</v>
      </c>
      <c r="F9" s="1">
        <v>1</v>
      </c>
      <c r="G9" s="1">
        <f>C9+D9+MIN(E9,4)+F9</f>
        <v>15</v>
      </c>
      <c r="H9" s="1">
        <f>D9+MIN(E9+F9,1)</f>
        <v>6</v>
      </c>
      <c r="I9" s="1">
        <f>IF(H9&gt;=4, 1, 0)</f>
        <v>1</v>
      </c>
      <c r="J9" s="1">
        <f>IF(G9&gt;=9, 1, 0)</f>
        <v>1</v>
      </c>
      <c r="K9" s="1">
        <f>IF(G9&gt;=11, 1, 0)</f>
        <v>1</v>
      </c>
      <c r="L9" s="1">
        <f>IF(K9+I9&gt;=2, 1, 0)</f>
        <v>1</v>
      </c>
      <c r="M9" s="1">
        <f>IF(J9+I9&gt;=2, 1, 0)</f>
        <v>1</v>
      </c>
      <c r="N9" s="1">
        <f>SUM(L9:M9)</f>
        <v>2</v>
      </c>
    </row>
    <row r="10" spans="1:14">
      <c r="A10" s="1" t="s">
        <v>74</v>
      </c>
      <c r="B10" s="1" t="s">
        <v>75</v>
      </c>
      <c r="C10" s="1">
        <v>6</v>
      </c>
      <c r="D10" s="1">
        <v>4</v>
      </c>
      <c r="E10" s="1">
        <v>4</v>
      </c>
      <c r="F10" s="1">
        <v>1</v>
      </c>
      <c r="G10" s="1">
        <f>C10+D10+MIN(E10,4)+F10</f>
        <v>15</v>
      </c>
      <c r="H10" s="1">
        <f>D10+MIN(E10+F10,1)</f>
        <v>5</v>
      </c>
      <c r="I10" s="1">
        <f>IF(H10&gt;=4, 1, 0)</f>
        <v>1</v>
      </c>
      <c r="J10" s="1">
        <f>IF(G10&gt;=9, 1, 0)</f>
        <v>1</v>
      </c>
      <c r="K10" s="1">
        <f>IF(G10&gt;=11, 1, 0)</f>
        <v>1</v>
      </c>
      <c r="L10" s="1">
        <f>IF(K10+I10&gt;=2, 1, 0)</f>
        <v>1</v>
      </c>
      <c r="M10" s="1">
        <f>IF(J10+I10&gt;=2, 1, 0)</f>
        <v>1</v>
      </c>
      <c r="N10" s="1">
        <f>SUM(L10:M10)</f>
        <v>2</v>
      </c>
    </row>
    <row r="11" spans="1:14">
      <c r="A11" s="1" t="s">
        <v>76</v>
      </c>
      <c r="B11" s="1" t="s">
        <v>77</v>
      </c>
      <c r="C11" s="1">
        <v>6</v>
      </c>
      <c r="D11" s="1">
        <v>4</v>
      </c>
      <c r="E11" s="1">
        <v>3</v>
      </c>
      <c r="F11" s="1">
        <v>2</v>
      </c>
      <c r="G11" s="1">
        <f>C11+D11+MIN(E11,4)+F11</f>
        <v>15</v>
      </c>
      <c r="H11" s="1">
        <f>D11+MIN(E11+F11,1)</f>
        <v>5</v>
      </c>
      <c r="I11" s="1">
        <f>IF(H11&gt;=4, 1, 0)</f>
        <v>1</v>
      </c>
      <c r="J11" s="1">
        <f>IF(G11&gt;=9, 1, 0)</f>
        <v>1</v>
      </c>
      <c r="K11" s="1">
        <f>IF(G11&gt;=11, 1, 0)</f>
        <v>1</v>
      </c>
      <c r="L11" s="1">
        <f>IF(K11+I11&gt;=2, 1, 0)</f>
        <v>1</v>
      </c>
      <c r="M11" s="1">
        <f>IF(J11+I11&gt;=2, 1, 0)</f>
        <v>1</v>
      </c>
      <c r="N11" s="1">
        <f>SUM(L11:M11)</f>
        <v>2</v>
      </c>
    </row>
    <row r="12" spans="1:14">
      <c r="A12" s="1" t="s">
        <v>14</v>
      </c>
      <c r="B12" s="1" t="s">
        <v>15</v>
      </c>
      <c r="C12" s="1">
        <v>8</v>
      </c>
      <c r="D12" s="1">
        <v>6.5</v>
      </c>
      <c r="E12" s="1">
        <v>0</v>
      </c>
      <c r="G12" s="1">
        <f>C12+D12+MIN(E12,4)+F12</f>
        <v>14.5</v>
      </c>
      <c r="H12" s="1">
        <f>D12+MIN(E12+F12,1)</f>
        <v>6.5</v>
      </c>
      <c r="I12" s="1">
        <f>IF(H12&gt;=4, 1, 0)</f>
        <v>1</v>
      </c>
      <c r="J12" s="1">
        <f>IF(G12&gt;=9, 1, 0)</f>
        <v>1</v>
      </c>
      <c r="K12" s="1">
        <f>IF(G12&gt;=11, 1, 0)</f>
        <v>1</v>
      </c>
      <c r="L12" s="1">
        <f>IF(K12+I12&gt;=2, 1, 0)</f>
        <v>1</v>
      </c>
      <c r="M12" s="1">
        <f>IF(J12+I12&gt;=2, 1, 0)</f>
        <v>1</v>
      </c>
      <c r="N12" s="1">
        <f>SUM(L12:M12)</f>
        <v>2</v>
      </c>
    </row>
    <row r="13" spans="1:14">
      <c r="A13" s="1" t="s">
        <v>26</v>
      </c>
      <c r="B13" s="1" t="s">
        <v>27</v>
      </c>
      <c r="C13" s="1">
        <v>7</v>
      </c>
      <c r="D13" s="1">
        <v>6</v>
      </c>
      <c r="E13" s="1">
        <v>0</v>
      </c>
      <c r="F13" s="1">
        <v>1</v>
      </c>
      <c r="G13" s="1">
        <f>C13+D13+MIN(E13,4)+F13</f>
        <v>14</v>
      </c>
      <c r="H13" s="1">
        <f>D13+MIN(E13+F13,1)</f>
        <v>7</v>
      </c>
      <c r="I13" s="1">
        <f>IF(H13&gt;=4, 1, 0)</f>
        <v>1</v>
      </c>
      <c r="J13" s="1">
        <f>IF(G13&gt;=9, 1, 0)</f>
        <v>1</v>
      </c>
      <c r="K13" s="1">
        <f>IF(G13&gt;=11, 1, 0)</f>
        <v>1</v>
      </c>
      <c r="L13" s="1">
        <f>IF(K13+I13&gt;=2, 1, 0)</f>
        <v>1</v>
      </c>
      <c r="M13" s="1">
        <f>IF(J13+I13&gt;=2, 1, 0)</f>
        <v>1</v>
      </c>
      <c r="N13" s="1">
        <f>SUM(L13:M13)</f>
        <v>2</v>
      </c>
    </row>
    <row r="14" spans="1:14">
      <c r="A14" s="1" t="s">
        <v>28</v>
      </c>
      <c r="B14" s="1" t="s">
        <v>29</v>
      </c>
      <c r="C14" s="1">
        <v>7</v>
      </c>
      <c r="D14" s="1">
        <v>7</v>
      </c>
      <c r="E14" s="1">
        <v>0</v>
      </c>
      <c r="G14" s="1">
        <f>C14+D14+MIN(E14,4)+F14</f>
        <v>14</v>
      </c>
      <c r="H14" s="1">
        <f>D14+MIN(E14+F14,1)</f>
        <v>7</v>
      </c>
      <c r="I14" s="1">
        <f>IF(H14&gt;=4, 1, 0)</f>
        <v>1</v>
      </c>
      <c r="J14" s="1">
        <f>IF(G14&gt;=9, 1, 0)</f>
        <v>1</v>
      </c>
      <c r="K14" s="1">
        <f>IF(G14&gt;=11, 1, 0)</f>
        <v>1</v>
      </c>
      <c r="L14" s="1">
        <f>IF(K14+I14&gt;=2, 1, 0)</f>
        <v>1</v>
      </c>
      <c r="M14" s="1">
        <f>IF(J14+I14&gt;=2, 1, 0)</f>
        <v>1</v>
      </c>
      <c r="N14" s="1">
        <f>SUM(L14:M14)</f>
        <v>2</v>
      </c>
    </row>
    <row r="15" spans="1:14">
      <c r="A15" s="1" t="s">
        <v>80</v>
      </c>
      <c r="B15" s="1" t="s">
        <v>81</v>
      </c>
      <c r="C15" s="1">
        <v>4</v>
      </c>
      <c r="D15" s="1">
        <v>6</v>
      </c>
      <c r="E15" s="1">
        <v>3</v>
      </c>
      <c r="F15" s="1">
        <v>1</v>
      </c>
      <c r="G15" s="1">
        <f>C15+D15+MIN(E15,4)+F15</f>
        <v>14</v>
      </c>
      <c r="H15" s="1">
        <f>D15+MIN(E15+F15,1)</f>
        <v>7</v>
      </c>
      <c r="I15" s="1">
        <f>IF(H15&gt;=4, 1, 0)</f>
        <v>1</v>
      </c>
      <c r="J15" s="1">
        <f>IF(G15&gt;=9, 1, 0)</f>
        <v>1</v>
      </c>
      <c r="K15" s="1">
        <f>IF(G15&gt;=11, 1, 0)</f>
        <v>1</v>
      </c>
      <c r="L15" s="1">
        <f>IF(K15+I15&gt;=2, 1, 0)</f>
        <v>1</v>
      </c>
      <c r="M15" s="1">
        <f>IF(J15+I15&gt;=2, 1, 0)</f>
        <v>1</v>
      </c>
      <c r="N15" s="1">
        <f>SUM(L15:M15)</f>
        <v>2</v>
      </c>
    </row>
    <row r="16" spans="1:14">
      <c r="A16" s="1" t="s">
        <v>48</v>
      </c>
      <c r="B16" s="1" t="s">
        <v>49</v>
      </c>
      <c r="C16" s="1">
        <v>8</v>
      </c>
      <c r="D16" s="1">
        <v>4</v>
      </c>
      <c r="E16" s="1">
        <v>1</v>
      </c>
      <c r="F16" s="1">
        <v>1</v>
      </c>
      <c r="G16" s="1">
        <f>C16+D16+MIN(E16,4)+F16</f>
        <v>14</v>
      </c>
      <c r="H16" s="1">
        <f>D16+MIN(E16+F16,1)</f>
        <v>5</v>
      </c>
      <c r="I16" s="1">
        <f>IF(H16&gt;=4, 1, 0)</f>
        <v>1</v>
      </c>
      <c r="J16" s="1">
        <f>IF(G16&gt;=9, 1, 0)</f>
        <v>1</v>
      </c>
      <c r="K16" s="1">
        <f>IF(G16&gt;=11, 1, 0)</f>
        <v>1</v>
      </c>
      <c r="L16" s="1">
        <f>IF(K16+I16&gt;=2, 1, 0)</f>
        <v>1</v>
      </c>
      <c r="M16" s="1">
        <f>IF(J16+I16&gt;=2, 1, 0)</f>
        <v>1</v>
      </c>
      <c r="N16" s="1">
        <f>SUM(L16:M16)</f>
        <v>2</v>
      </c>
    </row>
    <row r="17" spans="1:14">
      <c r="A17" s="1" t="s">
        <v>54</v>
      </c>
      <c r="B17" s="1" t="s">
        <v>55</v>
      </c>
      <c r="C17" s="1">
        <v>5</v>
      </c>
      <c r="D17" s="1">
        <v>7</v>
      </c>
      <c r="E17" s="1">
        <v>1</v>
      </c>
      <c r="G17" s="1">
        <f>C17+D17+MIN(E17,4)+F17</f>
        <v>13</v>
      </c>
      <c r="H17" s="1">
        <f>D17+MIN(E17+F17,1)</f>
        <v>8</v>
      </c>
      <c r="I17" s="1">
        <f>IF(H17&gt;=4, 1, 0)</f>
        <v>1</v>
      </c>
      <c r="J17" s="1">
        <f>IF(G17&gt;=9, 1, 0)</f>
        <v>1</v>
      </c>
      <c r="K17" s="1">
        <f>IF(G17&gt;=11, 1, 0)</f>
        <v>1</v>
      </c>
      <c r="L17" s="1">
        <f>IF(K17+I17&gt;=2, 1, 0)</f>
        <v>1</v>
      </c>
      <c r="M17" s="1">
        <f>IF(J17+I17&gt;=2, 1, 0)</f>
        <v>1</v>
      </c>
      <c r="N17" s="1">
        <f>SUM(L17:M17)</f>
        <v>2</v>
      </c>
    </row>
    <row r="18" spans="1:14">
      <c r="A18" s="1" t="s">
        <v>34</v>
      </c>
      <c r="B18" s="1" t="s">
        <v>35</v>
      </c>
      <c r="C18" s="1">
        <v>5</v>
      </c>
      <c r="D18" s="1">
        <v>6</v>
      </c>
      <c r="E18" s="1">
        <v>0</v>
      </c>
      <c r="F18" s="1">
        <v>2</v>
      </c>
      <c r="G18" s="1">
        <f>C18+D18+MIN(E18,4)+F18</f>
        <v>13</v>
      </c>
      <c r="H18" s="1">
        <f>D18+MIN(E18+F18,1)</f>
        <v>7</v>
      </c>
      <c r="I18" s="1">
        <f>IF(H18&gt;=4, 1, 0)</f>
        <v>1</v>
      </c>
      <c r="J18" s="1">
        <f>IF(G18&gt;=9, 1, 0)</f>
        <v>1</v>
      </c>
      <c r="K18" s="1">
        <f>IF(G18&gt;=11, 1, 0)</f>
        <v>1</v>
      </c>
      <c r="L18" s="1">
        <f>IF(K18+I18&gt;=2, 1, 0)</f>
        <v>1</v>
      </c>
      <c r="M18" s="1">
        <f>IF(J18+I18&gt;=2, 1, 0)</f>
        <v>1</v>
      </c>
      <c r="N18" s="1">
        <f>SUM(L18:M18)</f>
        <v>2</v>
      </c>
    </row>
    <row r="19" spans="1:14">
      <c r="A19" s="1" t="s">
        <v>12</v>
      </c>
      <c r="B19" s="1" t="s">
        <v>13</v>
      </c>
      <c r="C19" s="1">
        <v>7</v>
      </c>
      <c r="D19" s="1">
        <v>5</v>
      </c>
      <c r="E19" s="1">
        <v>0</v>
      </c>
      <c r="F19" s="1">
        <v>1</v>
      </c>
      <c r="G19" s="1">
        <f>C19+D19+MIN(E19,4)+F19</f>
        <v>13</v>
      </c>
      <c r="H19" s="1">
        <f>D19+MIN(E19+F19,1)</f>
        <v>6</v>
      </c>
      <c r="I19" s="1">
        <f>IF(H19&gt;=4, 1, 0)</f>
        <v>1</v>
      </c>
      <c r="J19" s="1">
        <f>IF(G19&gt;=9, 1, 0)</f>
        <v>1</v>
      </c>
      <c r="K19" s="1">
        <f>IF(G19&gt;=11, 1, 0)</f>
        <v>1</v>
      </c>
      <c r="L19" s="1">
        <f>IF(K19+I19&gt;=2, 1, 0)</f>
        <v>1</v>
      </c>
      <c r="M19" s="1">
        <f>IF(J19+I19&gt;=2, 1, 0)</f>
        <v>1</v>
      </c>
      <c r="N19" s="1">
        <f>SUM(L19:M19)</f>
        <v>2</v>
      </c>
    </row>
    <row r="20" spans="1:14">
      <c r="A20" s="1" t="s">
        <v>20</v>
      </c>
      <c r="B20" s="1" t="s">
        <v>21</v>
      </c>
      <c r="C20" s="1">
        <v>7</v>
      </c>
      <c r="D20" s="1">
        <v>6</v>
      </c>
      <c r="E20" s="1">
        <v>0</v>
      </c>
      <c r="G20" s="1">
        <f>C20+D20+MIN(E20,4)+F20</f>
        <v>13</v>
      </c>
      <c r="H20" s="1">
        <f>D20+MIN(E20+F20,1)</f>
        <v>6</v>
      </c>
      <c r="I20" s="1">
        <f>IF(H20&gt;=4, 1, 0)</f>
        <v>1</v>
      </c>
      <c r="J20" s="1">
        <f>IF(G20&gt;=9, 1, 0)</f>
        <v>1</v>
      </c>
      <c r="K20" s="1">
        <f>IF(G20&gt;=11, 1, 0)</f>
        <v>1</v>
      </c>
      <c r="L20" s="1">
        <f>IF(K20+I20&gt;=2, 1, 0)</f>
        <v>1</v>
      </c>
      <c r="M20" s="1">
        <f>IF(J20+I20&gt;=2, 1, 0)</f>
        <v>1</v>
      </c>
      <c r="N20" s="1">
        <f>SUM(L20:M20)</f>
        <v>2</v>
      </c>
    </row>
    <row r="21" spans="1:14">
      <c r="A21" s="1" t="s">
        <v>24</v>
      </c>
      <c r="B21" s="1" t="s">
        <v>25</v>
      </c>
      <c r="C21" s="1">
        <v>7</v>
      </c>
      <c r="D21" s="1">
        <v>6</v>
      </c>
      <c r="E21" s="1">
        <v>0</v>
      </c>
      <c r="G21" s="1">
        <f>C21+D21+MIN(E21,4)+F21</f>
        <v>13</v>
      </c>
      <c r="H21" s="1">
        <f>D21+MIN(E21+F21,1)</f>
        <v>6</v>
      </c>
      <c r="I21" s="1">
        <f>IF(H21&gt;=4, 1, 0)</f>
        <v>1</v>
      </c>
      <c r="J21" s="1">
        <f>IF(G21&gt;=9, 1, 0)</f>
        <v>1</v>
      </c>
      <c r="K21" s="1">
        <f>IF(G21&gt;=11, 1, 0)</f>
        <v>1</v>
      </c>
      <c r="L21" s="1">
        <f>IF(K21+I21&gt;=2, 1, 0)</f>
        <v>1</v>
      </c>
      <c r="M21" s="1">
        <f>IF(J21+I21&gt;=2, 1, 0)</f>
        <v>1</v>
      </c>
      <c r="N21" s="1">
        <f>SUM(L21:M21)</f>
        <v>2</v>
      </c>
    </row>
    <row r="22" spans="1:14">
      <c r="A22" s="1" t="s">
        <v>64</v>
      </c>
      <c r="B22" s="1" t="s">
        <v>65</v>
      </c>
      <c r="C22" s="1">
        <v>7</v>
      </c>
      <c r="D22" s="1">
        <v>5</v>
      </c>
      <c r="E22" s="1">
        <v>1</v>
      </c>
      <c r="G22" s="1">
        <f>C22+D22+MIN(E22,4)+F22</f>
        <v>13</v>
      </c>
      <c r="H22" s="1">
        <f>D22+MIN(E22+F22,1)</f>
        <v>6</v>
      </c>
      <c r="I22" s="1">
        <f>IF(H22&gt;=4, 1, 0)</f>
        <v>1</v>
      </c>
      <c r="J22" s="1">
        <f>IF(G22&gt;=9, 1, 0)</f>
        <v>1</v>
      </c>
      <c r="K22" s="1">
        <f>IF(G22&gt;=11, 1, 0)</f>
        <v>1</v>
      </c>
      <c r="L22" s="1">
        <f>IF(K22+I22&gt;=2, 1, 0)</f>
        <v>1</v>
      </c>
      <c r="M22" s="1">
        <f>IF(J22+I22&gt;=2, 1, 0)</f>
        <v>1</v>
      </c>
      <c r="N22" s="1">
        <f>SUM(L22:M22)</f>
        <v>2</v>
      </c>
    </row>
    <row r="23" spans="1:14">
      <c r="A23" s="1" t="s">
        <v>60</v>
      </c>
      <c r="B23" s="1" t="s">
        <v>61</v>
      </c>
      <c r="C23" s="1">
        <v>4</v>
      </c>
      <c r="D23" s="1">
        <v>4</v>
      </c>
      <c r="E23" s="1">
        <v>5</v>
      </c>
      <c r="F23" s="1">
        <v>1</v>
      </c>
      <c r="G23" s="1">
        <f>C23+D23+MIN(E23,4)+F23</f>
        <v>13</v>
      </c>
      <c r="H23" s="1">
        <f>D23+MIN(E23+F23,1)</f>
        <v>5</v>
      </c>
      <c r="I23" s="1">
        <f>IF(H23&gt;=4, 1, 0)</f>
        <v>1</v>
      </c>
      <c r="J23" s="1">
        <f>IF(G23&gt;=9, 1, 0)</f>
        <v>1</v>
      </c>
      <c r="K23" s="1">
        <f>IF(G23&gt;=11, 1, 0)</f>
        <v>1</v>
      </c>
      <c r="L23" s="1">
        <f>IF(K23+I23&gt;=2, 1, 0)</f>
        <v>1</v>
      </c>
      <c r="M23" s="1">
        <f>IF(J23+I23&gt;=2, 1, 0)</f>
        <v>1</v>
      </c>
      <c r="N23" s="1">
        <f>SUM(L23:M23)</f>
        <v>2</v>
      </c>
    </row>
    <row r="24" spans="1:14">
      <c r="A24" s="1" t="s">
        <v>30</v>
      </c>
      <c r="B24" s="1" t="s">
        <v>31</v>
      </c>
      <c r="C24" s="1">
        <v>7</v>
      </c>
      <c r="D24" s="1">
        <v>4</v>
      </c>
      <c r="E24" s="1">
        <v>1.5</v>
      </c>
      <c r="G24" s="1">
        <f>C24+D24+MIN(E24,4)+F24</f>
        <v>12.5</v>
      </c>
      <c r="H24" s="1">
        <f>D24+MIN(E24+F24,1)</f>
        <v>5</v>
      </c>
      <c r="I24" s="1">
        <f>IF(H24&gt;=4, 1, 0)</f>
        <v>1</v>
      </c>
      <c r="J24" s="1">
        <f>IF(G24&gt;=9, 1, 0)</f>
        <v>1</v>
      </c>
      <c r="K24" s="1">
        <f>IF(G24&gt;=11, 1, 0)</f>
        <v>1</v>
      </c>
      <c r="L24" s="1">
        <f>IF(K24+I24&gt;=2, 1, 0)</f>
        <v>1</v>
      </c>
      <c r="M24" s="1">
        <f>IF(J24+I24&gt;=2, 1, 0)</f>
        <v>1</v>
      </c>
      <c r="N24" s="1">
        <f>SUM(L24:M24)</f>
        <v>2</v>
      </c>
    </row>
    <row r="25" spans="1:14">
      <c r="A25" s="1" t="s">
        <v>42</v>
      </c>
      <c r="B25" s="1" t="s">
        <v>43</v>
      </c>
      <c r="C25" s="1">
        <v>5</v>
      </c>
      <c r="D25" s="1">
        <v>5</v>
      </c>
      <c r="E25" s="1">
        <v>1</v>
      </c>
      <c r="F25" s="1">
        <v>1</v>
      </c>
      <c r="G25" s="1">
        <f>C25+D25+MIN(E25,4)+F25</f>
        <v>12</v>
      </c>
      <c r="H25" s="1">
        <f>D25+MIN(E25+F25,1)</f>
        <v>6</v>
      </c>
      <c r="I25" s="1">
        <f>IF(H25&gt;=4, 1, 0)</f>
        <v>1</v>
      </c>
      <c r="J25" s="1">
        <f>IF(G25&gt;=9, 1, 0)</f>
        <v>1</v>
      </c>
      <c r="K25" s="1">
        <f>IF(G25&gt;=11, 1, 0)</f>
        <v>1</v>
      </c>
      <c r="L25" s="1">
        <f>IF(K25+I25&gt;=2, 1, 0)</f>
        <v>1</v>
      </c>
      <c r="M25" s="1">
        <f>IF(J25+I25&gt;=2, 1, 0)</f>
        <v>1</v>
      </c>
      <c r="N25" s="1">
        <f>SUM(L25:M25)</f>
        <v>2</v>
      </c>
    </row>
    <row r="26" spans="1:14">
      <c r="A26" s="1" t="s">
        <v>52</v>
      </c>
      <c r="B26" s="1" t="s">
        <v>53</v>
      </c>
      <c r="C26" s="1">
        <v>6</v>
      </c>
      <c r="D26" s="1">
        <v>6</v>
      </c>
      <c r="E26" s="1">
        <v>0</v>
      </c>
      <c r="G26" s="1">
        <f>C26+D26+MIN(E26,4)+F26</f>
        <v>12</v>
      </c>
      <c r="H26" s="1">
        <f>D26+MIN(E26+F26,1)</f>
        <v>6</v>
      </c>
      <c r="I26" s="1">
        <f>IF(H26&gt;=4, 1, 0)</f>
        <v>1</v>
      </c>
      <c r="J26" s="1">
        <f>IF(G26&gt;=9, 1, 0)</f>
        <v>1</v>
      </c>
      <c r="K26" s="1">
        <f>IF(G26&gt;=11, 1, 0)</f>
        <v>1</v>
      </c>
      <c r="L26" s="1">
        <f>IF(K26+I26&gt;=2, 1, 0)</f>
        <v>1</v>
      </c>
      <c r="M26" s="1">
        <f>IF(J26+I26&gt;=2, 1, 0)</f>
        <v>1</v>
      </c>
      <c r="N26" s="1">
        <f>SUM(L26:M26)</f>
        <v>2</v>
      </c>
    </row>
    <row r="27" spans="1:14">
      <c r="A27" s="1" t="s">
        <v>40</v>
      </c>
      <c r="B27" s="1" t="s">
        <v>41</v>
      </c>
      <c r="C27" s="1">
        <v>4</v>
      </c>
      <c r="D27" s="1">
        <v>5</v>
      </c>
      <c r="E27" s="1">
        <v>2</v>
      </c>
      <c r="F27" s="1">
        <v>1</v>
      </c>
      <c r="G27" s="1">
        <f>C27+D27+MIN(E27,4)+F27</f>
        <v>12</v>
      </c>
      <c r="H27" s="1">
        <f>D27+MIN(E27+F27,1)</f>
        <v>6</v>
      </c>
      <c r="I27" s="1">
        <f>IF(H27&gt;=4, 1, 0)</f>
        <v>1</v>
      </c>
      <c r="J27" s="1">
        <f>IF(G27&gt;=9, 1, 0)</f>
        <v>1</v>
      </c>
      <c r="K27" s="1">
        <f>IF(G27&gt;=11, 1, 0)</f>
        <v>1</v>
      </c>
      <c r="L27" s="1">
        <f>IF(K27+I27&gt;=2, 1, 0)</f>
        <v>1</v>
      </c>
      <c r="M27" s="1">
        <f>IF(J27+I27&gt;=2, 1, 0)</f>
        <v>1</v>
      </c>
      <c r="N27" s="1">
        <f>SUM(L27:M27)</f>
        <v>2</v>
      </c>
    </row>
    <row r="28" spans="1:14">
      <c r="A28" s="1" t="s">
        <v>16</v>
      </c>
      <c r="B28" s="1" t="s">
        <v>17</v>
      </c>
      <c r="C28" s="1">
        <v>7</v>
      </c>
      <c r="D28" s="1">
        <v>4</v>
      </c>
      <c r="E28" s="1">
        <v>1</v>
      </c>
      <c r="G28" s="1">
        <f>C28+D28+MIN(E28,4)+F28</f>
        <v>12</v>
      </c>
      <c r="H28" s="1">
        <f>D28+MIN(E28+F28,1)</f>
        <v>5</v>
      </c>
      <c r="I28" s="1">
        <f>IF(H28&gt;=4, 1, 0)</f>
        <v>1</v>
      </c>
      <c r="J28" s="1">
        <f>IF(G28&gt;=9, 1, 0)</f>
        <v>1</v>
      </c>
      <c r="K28" s="1">
        <f>IF(G28&gt;=11, 1, 0)</f>
        <v>1</v>
      </c>
      <c r="L28" s="1">
        <f>IF(K28+I28&gt;=2, 1, 0)</f>
        <v>1</v>
      </c>
      <c r="M28" s="1">
        <f>IF(J28+I28&gt;=2, 1, 0)</f>
        <v>1</v>
      </c>
      <c r="N28" s="1">
        <f>SUM(L28:M28)</f>
        <v>2</v>
      </c>
    </row>
    <row r="29" spans="1:14">
      <c r="A29" s="1" t="s">
        <v>22</v>
      </c>
      <c r="B29" s="1" t="s">
        <v>23</v>
      </c>
      <c r="C29" s="1">
        <v>7</v>
      </c>
      <c r="D29" s="1">
        <v>4</v>
      </c>
      <c r="E29" s="1">
        <v>0</v>
      </c>
      <c r="F29" s="1">
        <v>1</v>
      </c>
      <c r="G29" s="1">
        <f>C29+D29+MIN(E29,4)+F29</f>
        <v>12</v>
      </c>
      <c r="H29" s="1">
        <f>D29+MIN(E29+F29,1)</f>
        <v>5</v>
      </c>
      <c r="I29" s="1">
        <f>IF(H29&gt;=4, 1, 0)</f>
        <v>1</v>
      </c>
      <c r="J29" s="1">
        <f>IF(G29&gt;=9, 1, 0)</f>
        <v>1</v>
      </c>
      <c r="K29" s="1">
        <f>IF(G29&gt;=11, 1, 0)</f>
        <v>1</v>
      </c>
      <c r="L29" s="1">
        <f>IF(K29+I29&gt;=2, 1, 0)</f>
        <v>1</v>
      </c>
      <c r="M29" s="1">
        <f>IF(J29+I29&gt;=2, 1, 0)</f>
        <v>1</v>
      </c>
      <c r="N29" s="1">
        <f>SUM(L29:M29)</f>
        <v>2</v>
      </c>
    </row>
    <row r="30" spans="1:14">
      <c r="A30" s="1" t="s">
        <v>94</v>
      </c>
      <c r="B30" s="1" t="s">
        <v>95</v>
      </c>
      <c r="C30" s="1">
        <v>5</v>
      </c>
      <c r="D30" s="1">
        <v>4</v>
      </c>
      <c r="E30" s="1">
        <v>3</v>
      </c>
      <c r="G30" s="1">
        <f>C30+D30+MIN(E30,4)+F30</f>
        <v>12</v>
      </c>
      <c r="H30" s="1">
        <f>D30+MIN(E30+F30,1)</f>
        <v>5</v>
      </c>
      <c r="I30" s="1">
        <f>IF(H30&gt;=4, 1, 0)</f>
        <v>1</v>
      </c>
      <c r="J30" s="1">
        <f>IF(G30&gt;=9, 1, 0)</f>
        <v>1</v>
      </c>
      <c r="K30" s="1">
        <f>IF(G30&gt;=11, 1, 0)</f>
        <v>1</v>
      </c>
      <c r="L30" s="1">
        <f>IF(K30+I30&gt;=2, 1, 0)</f>
        <v>1</v>
      </c>
      <c r="M30" s="1">
        <f>IF(J30+I30&gt;=2, 1, 0)</f>
        <v>1</v>
      </c>
      <c r="N30" s="1">
        <f>SUM(L30:M30)</f>
        <v>2</v>
      </c>
    </row>
    <row r="31" spans="1:14">
      <c r="A31" s="1" t="s">
        <v>72</v>
      </c>
      <c r="B31" s="1" t="s">
        <v>73</v>
      </c>
      <c r="C31" s="1">
        <v>3</v>
      </c>
      <c r="D31" s="1">
        <v>4</v>
      </c>
      <c r="E31" s="1">
        <v>4</v>
      </c>
      <c r="F31" s="1">
        <v>1</v>
      </c>
      <c r="G31" s="1">
        <f>C31+D31+MIN(E31,4)+F31</f>
        <v>12</v>
      </c>
      <c r="H31" s="1">
        <f>D31+MIN(E31+F31,1)</f>
        <v>5</v>
      </c>
      <c r="I31" s="1">
        <f>IF(H31&gt;=4, 1, 0)</f>
        <v>1</v>
      </c>
      <c r="J31" s="1">
        <f>IF(G31&gt;=9, 1, 0)</f>
        <v>1</v>
      </c>
      <c r="K31" s="1">
        <f>IF(G31&gt;=11, 1, 0)</f>
        <v>1</v>
      </c>
      <c r="L31" s="1">
        <f>IF(K31+I31&gt;=2, 1, 0)</f>
        <v>1</v>
      </c>
      <c r="M31" s="1">
        <f>IF(J31+I31&gt;=2, 1, 0)</f>
        <v>1</v>
      </c>
      <c r="N31" s="1">
        <f>SUM(L31:M31)</f>
        <v>2</v>
      </c>
    </row>
    <row r="32" spans="1:14">
      <c r="A32" s="1" t="s">
        <v>50</v>
      </c>
      <c r="B32" s="1" t="s">
        <v>51</v>
      </c>
      <c r="C32" s="1">
        <v>4</v>
      </c>
      <c r="D32" s="1">
        <v>6</v>
      </c>
      <c r="E32" s="1">
        <v>1.5</v>
      </c>
      <c r="G32" s="1">
        <f>C32+D32+MIN(E32,4)+F32</f>
        <v>11.5</v>
      </c>
      <c r="H32" s="1">
        <f>D32+MIN(E32+F32,1)</f>
        <v>7</v>
      </c>
      <c r="I32" s="1">
        <f>IF(H32&gt;=4, 1, 0)</f>
        <v>1</v>
      </c>
      <c r="J32" s="1">
        <f>IF(G32&gt;=9, 1, 0)</f>
        <v>1</v>
      </c>
      <c r="K32" s="1">
        <f>IF(G32&gt;=11, 1, 0)</f>
        <v>1</v>
      </c>
      <c r="L32" s="1">
        <f>IF(K32+I32&gt;=2, 1, 0)</f>
        <v>1</v>
      </c>
      <c r="M32" s="1">
        <f>IF(J32+I32&gt;=2, 1, 0)</f>
        <v>1</v>
      </c>
      <c r="N32" s="1">
        <f>SUM(L32:M32)</f>
        <v>2</v>
      </c>
    </row>
    <row r="33" spans="1:14">
      <c r="A33" s="1" t="s">
        <v>32</v>
      </c>
      <c r="B33" s="1" t="s">
        <v>33</v>
      </c>
      <c r="C33" s="1">
        <v>6</v>
      </c>
      <c r="D33" s="1">
        <v>3.5</v>
      </c>
      <c r="E33" s="1">
        <v>1</v>
      </c>
      <c r="F33" s="1">
        <v>1</v>
      </c>
      <c r="G33" s="1">
        <f>C33+D33+MIN(E33,4)+F33</f>
        <v>11.5</v>
      </c>
      <c r="H33" s="1">
        <f>D33+MIN(E33+F33,1)</f>
        <v>4.5</v>
      </c>
      <c r="I33" s="1">
        <f>IF(H33&gt;=4, 1, 0)</f>
        <v>1</v>
      </c>
      <c r="J33" s="1">
        <f>IF(G33&gt;=9, 1, 0)</f>
        <v>1</v>
      </c>
      <c r="K33" s="1">
        <f>IF(G33&gt;=11, 1, 0)</f>
        <v>1</v>
      </c>
      <c r="L33" s="1">
        <f>IF(K33+I33&gt;=2, 1, 0)</f>
        <v>1</v>
      </c>
      <c r="M33" s="1">
        <f>IF(J33+I33&gt;=2, 1, 0)</f>
        <v>1</v>
      </c>
      <c r="N33" s="1">
        <f>SUM(L33:M33)</f>
        <v>2</v>
      </c>
    </row>
    <row r="34" spans="1:14">
      <c r="A34" s="1" t="s">
        <v>70</v>
      </c>
      <c r="B34" s="1" t="s">
        <v>71</v>
      </c>
      <c r="C34" s="1">
        <v>3.5</v>
      </c>
      <c r="D34" s="1">
        <v>3</v>
      </c>
      <c r="E34" s="1">
        <v>7</v>
      </c>
      <c r="F34" s="1">
        <v>1</v>
      </c>
      <c r="G34" s="1">
        <f>C34+D34+MIN(E34,4)+F34</f>
        <v>11.5</v>
      </c>
      <c r="H34" s="1">
        <f>D34+MIN(E34+F34,1)</f>
        <v>4</v>
      </c>
      <c r="I34" s="1">
        <f>IF(H34&gt;=4, 1, 0)</f>
        <v>1</v>
      </c>
      <c r="J34" s="1">
        <f>IF(G34&gt;=9, 1, 0)</f>
        <v>1</v>
      </c>
      <c r="K34" s="1">
        <f>IF(G34&gt;=11, 1, 0)</f>
        <v>1</v>
      </c>
      <c r="L34" s="1">
        <f>IF(K34+I34&gt;=2, 1, 0)</f>
        <v>1</v>
      </c>
      <c r="M34" s="1">
        <f>IF(J34+I34&gt;=2, 1, 0)</f>
        <v>1</v>
      </c>
      <c r="N34" s="1">
        <f>SUM(L34:M34)</f>
        <v>2</v>
      </c>
    </row>
    <row r="35" spans="1:14">
      <c r="A35" s="1" t="s">
        <v>147</v>
      </c>
      <c r="B35" s="1" t="s">
        <v>148</v>
      </c>
      <c r="C35" s="1">
        <v>0</v>
      </c>
      <c r="D35" s="1">
        <v>7</v>
      </c>
      <c r="E35" s="1">
        <v>3</v>
      </c>
      <c r="F35" s="1">
        <v>1</v>
      </c>
      <c r="G35" s="1">
        <f>C35+D35+MIN(E35,4)+F35</f>
        <v>11</v>
      </c>
      <c r="H35" s="1">
        <f>D35+MIN(E35+F35,1)</f>
        <v>8</v>
      </c>
      <c r="I35" s="1">
        <f>IF(H35&gt;=4, 1, 0)</f>
        <v>1</v>
      </c>
      <c r="J35" s="1">
        <f>IF(G35&gt;=9, 1, 0)</f>
        <v>1</v>
      </c>
      <c r="K35" s="1">
        <f>IF(G35&gt;=11, 1, 0)</f>
        <v>1</v>
      </c>
      <c r="L35" s="1">
        <f>IF(K35+I35&gt;=2, 1, 0)</f>
        <v>1</v>
      </c>
      <c r="M35" s="1">
        <f>IF(J35+I35&gt;=2, 1, 0)</f>
        <v>1</v>
      </c>
      <c r="N35" s="1">
        <f>SUM(L35:M35)</f>
        <v>2</v>
      </c>
    </row>
    <row r="36" spans="1:14">
      <c r="A36" s="1" t="s">
        <v>98</v>
      </c>
      <c r="B36" s="1" t="s">
        <v>99</v>
      </c>
      <c r="C36" s="1">
        <v>1</v>
      </c>
      <c r="D36" s="1">
        <v>7</v>
      </c>
      <c r="E36" s="1">
        <v>3</v>
      </c>
      <c r="G36" s="1">
        <f>C36+D36+MIN(E36,4)+F36</f>
        <v>11</v>
      </c>
      <c r="H36" s="1">
        <f>D36+MIN(E36+F36,1)</f>
        <v>8</v>
      </c>
      <c r="I36" s="1">
        <f>IF(H36&gt;=4, 1, 0)</f>
        <v>1</v>
      </c>
      <c r="J36" s="1">
        <f>IF(G36&gt;=9, 1, 0)</f>
        <v>1</v>
      </c>
      <c r="K36" s="1">
        <f>IF(G36&gt;=11, 1, 0)</f>
        <v>1</v>
      </c>
      <c r="L36" s="1">
        <f>IF(K36+I36&gt;=2, 1, 0)</f>
        <v>1</v>
      </c>
      <c r="M36" s="1">
        <f>IF(J36+I36&gt;=2, 1, 0)</f>
        <v>1</v>
      </c>
      <c r="N36" s="1">
        <f>SUM(L36:M36)</f>
        <v>2</v>
      </c>
    </row>
    <row r="37" spans="1:14">
      <c r="A37" s="1">
        <v>3000</v>
      </c>
      <c r="B37" s="1" t="s">
        <v>114</v>
      </c>
      <c r="C37" s="1">
        <v>2</v>
      </c>
      <c r="D37" s="1">
        <v>6</v>
      </c>
      <c r="E37" s="1">
        <v>3</v>
      </c>
      <c r="G37" s="1">
        <f>C37+D37+MIN(E37,4)+F37</f>
        <v>11</v>
      </c>
      <c r="H37" s="1">
        <f>D37+MIN(E37+F37,1)</f>
        <v>7</v>
      </c>
      <c r="I37" s="1">
        <f>IF(H37&gt;=4, 1, 0)</f>
        <v>1</v>
      </c>
      <c r="J37" s="1">
        <f>IF(G37&gt;=9, 1, 0)</f>
        <v>1</v>
      </c>
      <c r="K37" s="1">
        <f>IF(G37&gt;=11, 1, 0)</f>
        <v>1</v>
      </c>
      <c r="L37" s="1">
        <f>IF(K37+I37&gt;=2, 1, 0)</f>
        <v>1</v>
      </c>
      <c r="M37" s="1">
        <f>IF(J37+I37&gt;=2, 1, 0)</f>
        <v>1</v>
      </c>
      <c r="N37" s="1">
        <f>SUM(L37:M37)</f>
        <v>2</v>
      </c>
    </row>
    <row r="38" spans="1:14">
      <c r="A38" s="1" t="s">
        <v>62</v>
      </c>
      <c r="B38" s="1" t="s">
        <v>63</v>
      </c>
      <c r="C38" s="1">
        <v>5</v>
      </c>
      <c r="D38" s="1">
        <v>5</v>
      </c>
      <c r="E38" s="1">
        <v>1</v>
      </c>
      <c r="G38" s="1">
        <f>C38+D38+MIN(E38,4)+F38</f>
        <v>11</v>
      </c>
      <c r="H38" s="1">
        <f>D38+MIN(E38+F38,1)</f>
        <v>6</v>
      </c>
      <c r="I38" s="1">
        <f>IF(H38&gt;=4, 1, 0)</f>
        <v>1</v>
      </c>
      <c r="J38" s="1">
        <f>IF(G38&gt;=9, 1, 0)</f>
        <v>1</v>
      </c>
      <c r="K38" s="1">
        <f>IF(G38&gt;=11, 1, 0)</f>
        <v>1</v>
      </c>
      <c r="L38" s="1">
        <f>IF(K38+I38&gt;=2, 1, 0)</f>
        <v>1</v>
      </c>
      <c r="M38" s="1">
        <f>IF(J38+I38&gt;=2, 1, 0)</f>
        <v>1</v>
      </c>
      <c r="N38" s="1">
        <f>SUM(L38:M38)</f>
        <v>2</v>
      </c>
    </row>
    <row r="39" spans="1:14">
      <c r="A39" s="1" t="s">
        <v>66</v>
      </c>
      <c r="B39" s="1" t="s">
        <v>67</v>
      </c>
      <c r="C39" s="1">
        <v>5</v>
      </c>
      <c r="D39" s="1">
        <v>6</v>
      </c>
      <c r="E39" s="1">
        <v>0</v>
      </c>
      <c r="G39" s="1">
        <f>C39+D39+MIN(E39,4)+F39</f>
        <v>11</v>
      </c>
      <c r="H39" s="1">
        <f>D39+MIN(E39+F39,1)</f>
        <v>6</v>
      </c>
      <c r="I39" s="1">
        <f>IF(H39&gt;=4, 1, 0)</f>
        <v>1</v>
      </c>
      <c r="J39" s="1">
        <f>IF(G39&gt;=9, 1, 0)</f>
        <v>1</v>
      </c>
      <c r="K39" s="1">
        <f>IF(G39&gt;=11, 1, 0)</f>
        <v>1</v>
      </c>
      <c r="L39" s="1">
        <f>IF(K39+I39&gt;=2, 1, 0)</f>
        <v>1</v>
      </c>
      <c r="M39" s="1">
        <f>IF(J39+I39&gt;=2, 1, 0)</f>
        <v>1</v>
      </c>
      <c r="N39" s="1">
        <f>SUM(L39:M39)</f>
        <v>2</v>
      </c>
    </row>
    <row r="40" spans="1:14">
      <c r="A40" s="1" t="s">
        <v>123</v>
      </c>
      <c r="B40" s="1" t="s">
        <v>124</v>
      </c>
      <c r="C40" s="1">
        <v>2</v>
      </c>
      <c r="D40" s="1">
        <v>5</v>
      </c>
      <c r="E40" s="1">
        <v>4</v>
      </c>
      <c r="G40" s="1">
        <f>C40+D40+MIN(E40,4)+F40</f>
        <v>11</v>
      </c>
      <c r="H40" s="1">
        <f>D40+MIN(E40+F40,1)</f>
        <v>6</v>
      </c>
      <c r="I40" s="1">
        <f>IF(H40&gt;=4, 1, 0)</f>
        <v>1</v>
      </c>
      <c r="J40" s="1">
        <f>IF(G40&gt;=9, 1, 0)</f>
        <v>1</v>
      </c>
      <c r="K40" s="1">
        <f>IF(G40&gt;=11, 1, 0)</f>
        <v>1</v>
      </c>
      <c r="L40" s="1">
        <f>IF(K40+I40&gt;=2, 1, 0)</f>
        <v>1</v>
      </c>
      <c r="M40" s="1">
        <f>IF(J40+I40&gt;=2, 1, 0)</f>
        <v>1</v>
      </c>
      <c r="N40" s="1">
        <f>SUM(L40:M40)</f>
        <v>2</v>
      </c>
    </row>
    <row r="41" spans="1:14">
      <c r="A41" s="1" t="s">
        <v>36</v>
      </c>
      <c r="B41" s="1" t="s">
        <v>37</v>
      </c>
      <c r="C41" s="1">
        <v>5</v>
      </c>
      <c r="D41" s="1">
        <v>4</v>
      </c>
      <c r="E41" s="1">
        <v>2</v>
      </c>
      <c r="G41" s="1">
        <f>C41+D41+MIN(E41,4)+F41</f>
        <v>11</v>
      </c>
      <c r="H41" s="1">
        <f>D41+MIN(E41+F41,1)</f>
        <v>5</v>
      </c>
      <c r="I41" s="1">
        <f>IF(H41&gt;=4, 1, 0)</f>
        <v>1</v>
      </c>
      <c r="J41" s="1">
        <f>IF(G41&gt;=9, 1, 0)</f>
        <v>1</v>
      </c>
      <c r="K41" s="1">
        <f>IF(G41&gt;=11, 1, 0)</f>
        <v>1</v>
      </c>
      <c r="L41" s="1">
        <f>IF(K41+I41&gt;=2, 1, 0)</f>
        <v>1</v>
      </c>
      <c r="M41" s="1">
        <f>IF(J41+I41&gt;=2, 1, 0)</f>
        <v>1</v>
      </c>
      <c r="N41" s="1">
        <f>SUM(L41:M41)</f>
        <v>2</v>
      </c>
    </row>
    <row r="42" spans="1:14">
      <c r="A42" s="1" t="s">
        <v>38</v>
      </c>
      <c r="B42" s="1" t="s">
        <v>39</v>
      </c>
      <c r="C42" s="1">
        <v>6</v>
      </c>
      <c r="D42" s="1">
        <v>4</v>
      </c>
      <c r="E42" s="1">
        <v>1</v>
      </c>
      <c r="G42" s="1">
        <f>C42+D42+MIN(E42,4)+F42</f>
        <v>11</v>
      </c>
      <c r="H42" s="1">
        <f>D42+MIN(E42+F42,1)</f>
        <v>5</v>
      </c>
      <c r="I42" s="1">
        <f>IF(H42&gt;=4, 1, 0)</f>
        <v>1</v>
      </c>
      <c r="J42" s="1">
        <f>IF(G42&gt;=9, 1, 0)</f>
        <v>1</v>
      </c>
      <c r="K42" s="1">
        <f>IF(G42&gt;=11, 1, 0)</f>
        <v>1</v>
      </c>
      <c r="L42" s="1">
        <f>IF(K42+I42&gt;=2, 1, 0)</f>
        <v>1</v>
      </c>
      <c r="M42" s="1">
        <f>IF(J42+I42&gt;=2, 1, 0)</f>
        <v>1</v>
      </c>
      <c r="N42" s="1">
        <f>SUM(L42:M42)</f>
        <v>2</v>
      </c>
    </row>
    <row r="43" spans="1:14">
      <c r="A43" s="1" t="s">
        <v>46</v>
      </c>
      <c r="B43" s="1" t="s">
        <v>47</v>
      </c>
      <c r="C43" s="1">
        <v>6</v>
      </c>
      <c r="D43" s="1">
        <v>5</v>
      </c>
      <c r="E43" s="1">
        <v>0</v>
      </c>
      <c r="G43" s="1">
        <f>C43+D43+MIN(E43,4)+F43</f>
        <v>11</v>
      </c>
      <c r="H43" s="1">
        <f>D43+MIN(E43+F43,1)</f>
        <v>5</v>
      </c>
      <c r="I43" s="1">
        <f>IF(H43&gt;=4, 1, 0)</f>
        <v>1</v>
      </c>
      <c r="J43" s="1">
        <f>IF(G43&gt;=9, 1, 0)</f>
        <v>1</v>
      </c>
      <c r="K43" s="1">
        <f>IF(G43&gt;=11, 1, 0)</f>
        <v>1</v>
      </c>
      <c r="L43" s="1">
        <f>IF(K43+I43&gt;=2, 1, 0)</f>
        <v>1</v>
      </c>
      <c r="M43" s="1">
        <f>IF(J43+I43&gt;=2, 1, 0)</f>
        <v>1</v>
      </c>
      <c r="N43" s="1">
        <f>SUM(L43:M43)</f>
        <v>2</v>
      </c>
    </row>
    <row r="44" spans="1:14">
      <c r="A44" s="1" t="s">
        <v>121</v>
      </c>
      <c r="B44" s="1" t="s">
        <v>122</v>
      </c>
      <c r="C44" s="1">
        <v>3</v>
      </c>
      <c r="D44" s="1">
        <v>4</v>
      </c>
      <c r="E44" s="1">
        <v>4</v>
      </c>
      <c r="G44" s="1">
        <f>C44+D44+MIN(E44,4)+F44</f>
        <v>11</v>
      </c>
      <c r="H44" s="1">
        <f>D44+MIN(E44+F44,1)</f>
        <v>5</v>
      </c>
      <c r="I44" s="1">
        <f>IF(H44&gt;=4, 1, 0)</f>
        <v>1</v>
      </c>
      <c r="J44" s="1">
        <f>IF(G44&gt;=9, 1, 0)</f>
        <v>1</v>
      </c>
      <c r="K44" s="1">
        <f>IF(G44&gt;=11, 1, 0)</f>
        <v>1</v>
      </c>
      <c r="L44" s="1">
        <f>IF(K44+I44&gt;=2, 1, 0)</f>
        <v>1</v>
      </c>
      <c r="M44" s="1">
        <f>IF(J44+I44&gt;=2, 1, 0)</f>
        <v>1</v>
      </c>
      <c r="N44" s="1">
        <f>SUM(L44:M44)</f>
        <v>2</v>
      </c>
    </row>
    <row r="45" spans="1:14">
      <c r="A45" s="1" t="s">
        <v>58</v>
      </c>
      <c r="B45" s="1" t="s">
        <v>59</v>
      </c>
      <c r="C45" s="1">
        <v>7</v>
      </c>
      <c r="D45" s="1">
        <v>4</v>
      </c>
      <c r="E45" s="1">
        <v>0</v>
      </c>
      <c r="G45" s="1">
        <f>C45+D45+MIN(E45,4)+F45</f>
        <v>11</v>
      </c>
      <c r="H45" s="1">
        <f>D45+MIN(E45+F45,1)</f>
        <v>4</v>
      </c>
      <c r="I45" s="1">
        <f>IF(H45&gt;=4, 1, 0)</f>
        <v>1</v>
      </c>
      <c r="J45" s="1">
        <f>IF(G45&gt;=9, 1, 0)</f>
        <v>1</v>
      </c>
      <c r="K45" s="1">
        <f>IF(G45&gt;=11, 1, 0)</f>
        <v>1</v>
      </c>
      <c r="L45" s="1">
        <f>IF(K45+I45&gt;=2, 1, 0)</f>
        <v>1</v>
      </c>
      <c r="M45" s="1">
        <f>IF(J45+I45&gt;=2, 1, 0)</f>
        <v>1</v>
      </c>
      <c r="N45" s="1">
        <f>SUM(L45:M45)</f>
        <v>2</v>
      </c>
    </row>
    <row r="46" spans="1:14">
      <c r="A46" s="1" t="s">
        <v>84</v>
      </c>
      <c r="B46" s="1" t="s">
        <v>85</v>
      </c>
      <c r="C46" s="1">
        <v>4</v>
      </c>
      <c r="D46" s="1">
        <v>3</v>
      </c>
      <c r="E46" s="1">
        <v>3</v>
      </c>
      <c r="F46" s="1">
        <v>1</v>
      </c>
      <c r="G46" s="1">
        <f>C46+D46+MIN(E46,4)+F46</f>
        <v>11</v>
      </c>
      <c r="H46" s="1">
        <f>D46+MIN(E46+F46,1)</f>
        <v>4</v>
      </c>
      <c r="I46" s="1">
        <f>IF(H46&gt;=4, 1, 0)</f>
        <v>1</v>
      </c>
      <c r="J46" s="1">
        <f>IF(G46&gt;=9, 1, 0)</f>
        <v>1</v>
      </c>
      <c r="K46" s="1">
        <f>IF(G46&gt;=11, 1, 0)</f>
        <v>1</v>
      </c>
      <c r="L46" s="1">
        <f>IF(K46+I46&gt;=2, 1, 0)</f>
        <v>1</v>
      </c>
      <c r="M46" s="1">
        <f>IF(J46+I46&gt;=2, 1, 0)</f>
        <v>1</v>
      </c>
      <c r="N46" s="1">
        <f>SUM(L46:M46)</f>
        <v>2</v>
      </c>
    </row>
    <row r="47" spans="1:14">
      <c r="A47" s="1" t="s">
        <v>86</v>
      </c>
      <c r="B47" s="1" t="s">
        <v>87</v>
      </c>
      <c r="C47" s="1">
        <v>5</v>
      </c>
      <c r="D47" s="1">
        <v>3</v>
      </c>
      <c r="E47" s="1">
        <v>2</v>
      </c>
      <c r="F47" s="1">
        <v>1</v>
      </c>
      <c r="G47" s="1">
        <f>C47+D47+MIN(E47,4)+F47</f>
        <v>11</v>
      </c>
      <c r="H47" s="1">
        <f>D47+MIN(E47+F47,1)</f>
        <v>4</v>
      </c>
      <c r="I47" s="1">
        <f>IF(H47&gt;=4, 1, 0)</f>
        <v>1</v>
      </c>
      <c r="J47" s="1">
        <f>IF(G47&gt;=9, 1, 0)</f>
        <v>1</v>
      </c>
      <c r="K47" s="1">
        <f>IF(G47&gt;=11, 1, 0)</f>
        <v>1</v>
      </c>
      <c r="L47" s="1">
        <f>IF(K47+I47&gt;=2, 1, 0)</f>
        <v>1</v>
      </c>
      <c r="M47" s="1">
        <f>IF(J47+I47&gt;=2, 1, 0)</f>
        <v>1</v>
      </c>
      <c r="N47" s="1">
        <f>SUM(L47:M47)</f>
        <v>2</v>
      </c>
    </row>
    <row r="48" spans="1:14">
      <c r="A48" s="1" t="s">
        <v>110</v>
      </c>
      <c r="B48" s="1" t="s">
        <v>111</v>
      </c>
      <c r="C48" s="1">
        <v>5</v>
      </c>
      <c r="D48" s="1">
        <v>3</v>
      </c>
      <c r="E48" s="1">
        <v>1</v>
      </c>
      <c r="F48" s="1">
        <v>2</v>
      </c>
      <c r="G48" s="1">
        <f>C48+D48+MIN(E48,4)+F48</f>
        <v>11</v>
      </c>
      <c r="H48" s="1">
        <f>D48+MIN(E48+F48,1)</f>
        <v>4</v>
      </c>
      <c r="I48" s="1">
        <f>IF(H48&gt;=4, 1, 0)</f>
        <v>1</v>
      </c>
      <c r="J48" s="1">
        <f>IF(G48&gt;=9, 1, 0)</f>
        <v>1</v>
      </c>
      <c r="K48" s="1">
        <f>IF(G48&gt;=11, 1, 0)</f>
        <v>1</v>
      </c>
      <c r="L48" s="1">
        <f>IF(K48+I48&gt;=2, 1, 0)</f>
        <v>1</v>
      </c>
      <c r="M48" s="1">
        <f>IF(J48+I48&gt;=2, 1, 0)</f>
        <v>1</v>
      </c>
      <c r="N48" s="1">
        <f>SUM(L48:M48)</f>
        <v>2</v>
      </c>
    </row>
    <row r="49" spans="1:14">
      <c r="A49" s="1" t="s">
        <v>135</v>
      </c>
      <c r="B49" s="1" t="s">
        <v>136</v>
      </c>
      <c r="C49" s="1">
        <v>3</v>
      </c>
      <c r="D49" s="1">
        <v>3</v>
      </c>
      <c r="E49" s="1">
        <v>5.5</v>
      </c>
      <c r="F49" s="1">
        <v>1</v>
      </c>
      <c r="G49" s="1">
        <f>C49+D49+MIN(E49,4)+F49</f>
        <v>11</v>
      </c>
      <c r="H49" s="1">
        <f>D49+MIN(E49+F49,1)</f>
        <v>4</v>
      </c>
      <c r="I49" s="1">
        <f>IF(H49&gt;=4, 1, 0)</f>
        <v>1</v>
      </c>
      <c r="J49" s="1">
        <f>IF(G49&gt;=9, 1, 0)</f>
        <v>1</v>
      </c>
      <c r="K49" s="1">
        <f>IF(G49&gt;=11, 1, 0)</f>
        <v>1</v>
      </c>
      <c r="L49" s="1">
        <f>IF(K49+I49&gt;=2, 1, 0)</f>
        <v>1</v>
      </c>
      <c r="M49" s="1">
        <f>IF(J49+I49&gt;=2, 1, 0)</f>
        <v>1</v>
      </c>
      <c r="N49" s="1">
        <f>SUM(L49:M49)</f>
        <v>2</v>
      </c>
    </row>
    <row r="50" spans="1:14">
      <c r="A50" s="1" t="s">
        <v>82</v>
      </c>
      <c r="B50" s="1" t="s">
        <v>83</v>
      </c>
      <c r="C50" s="1">
        <v>1.5</v>
      </c>
      <c r="D50" s="1">
        <v>6</v>
      </c>
      <c r="E50" s="1">
        <v>3</v>
      </c>
      <c r="G50" s="1">
        <f>C50+D50+MIN(E50,4)+F50</f>
        <v>10.5</v>
      </c>
      <c r="H50" s="1">
        <f>D50+MIN(E50+F50,1)</f>
        <v>7</v>
      </c>
      <c r="I50" s="1">
        <f>IF(H50&gt;=4, 1, 0)</f>
        <v>1</v>
      </c>
      <c r="J50" s="1">
        <f>IF(G50&gt;=9, 1, 0)</f>
        <v>1</v>
      </c>
      <c r="K50" s="1">
        <f>IF(G50&gt;=11, 1, 0)</f>
        <v>0</v>
      </c>
      <c r="L50" s="1">
        <f>IF(K50+I50&gt;=2, 1, 0)</f>
        <v>0</v>
      </c>
      <c r="M50" s="1">
        <f>IF(J50+I50&gt;=2, 1, 0)</f>
        <v>1</v>
      </c>
      <c r="N50" s="1">
        <f>SUM(L50:M50)</f>
        <v>1</v>
      </c>
    </row>
    <row r="51" spans="1:14">
      <c r="A51" s="1" t="s">
        <v>92</v>
      </c>
      <c r="B51" s="1" t="s">
        <v>93</v>
      </c>
      <c r="C51" s="1">
        <v>4</v>
      </c>
      <c r="D51" s="1">
        <v>5</v>
      </c>
      <c r="E51" s="1">
        <v>1</v>
      </c>
      <c r="G51" s="1">
        <f>C51+D51+MIN(E51,4)+F51</f>
        <v>10</v>
      </c>
      <c r="H51" s="1">
        <f>D51+MIN(E51+F51,1)</f>
        <v>6</v>
      </c>
      <c r="I51" s="1">
        <f>IF(H51&gt;=4, 1, 0)</f>
        <v>1</v>
      </c>
      <c r="J51" s="1">
        <f>IF(G51&gt;=9, 1, 0)</f>
        <v>1</v>
      </c>
      <c r="K51" s="1">
        <f>IF(G51&gt;=11, 1, 0)</f>
        <v>0</v>
      </c>
      <c r="L51" s="1">
        <f>IF(K51+I51&gt;=2, 1, 0)</f>
        <v>0</v>
      </c>
      <c r="M51" s="1">
        <f>IF(J51+I51&gt;=2, 1, 0)</f>
        <v>1</v>
      </c>
      <c r="N51" s="1">
        <f>SUM(L51:M51)</f>
        <v>1</v>
      </c>
    </row>
    <row r="52" spans="1:14">
      <c r="A52" s="1" t="s">
        <v>112</v>
      </c>
      <c r="B52" s="1" t="s">
        <v>113</v>
      </c>
      <c r="C52" s="1">
        <v>3</v>
      </c>
      <c r="D52" s="1">
        <v>5</v>
      </c>
      <c r="E52" s="1">
        <v>2</v>
      </c>
      <c r="G52" s="1">
        <f>C52+D52+MIN(E52,4)+F52</f>
        <v>10</v>
      </c>
      <c r="H52" s="1">
        <f>D52+MIN(E52+F52,1)</f>
        <v>6</v>
      </c>
      <c r="I52" s="1">
        <f>IF(H52&gt;=4, 1, 0)</f>
        <v>1</v>
      </c>
      <c r="J52" s="1">
        <f>IF(G52&gt;=9, 1, 0)</f>
        <v>1</v>
      </c>
      <c r="K52" s="1">
        <f>IF(G52&gt;=11, 1, 0)</f>
        <v>0</v>
      </c>
      <c r="L52" s="1">
        <f>IF(K52+I52&gt;=2, 1, 0)</f>
        <v>0</v>
      </c>
      <c r="M52" s="1">
        <f>IF(J52+I52&gt;=2, 1, 0)</f>
        <v>1</v>
      </c>
      <c r="N52" s="1">
        <f>SUM(L52:M52)</f>
        <v>1</v>
      </c>
    </row>
    <row r="53" spans="1:14">
      <c r="A53" s="1" t="s">
        <v>100</v>
      </c>
      <c r="B53" s="1" t="s">
        <v>101</v>
      </c>
      <c r="C53" s="1">
        <v>2</v>
      </c>
      <c r="D53" s="1">
        <v>5</v>
      </c>
      <c r="E53" s="1">
        <v>3</v>
      </c>
      <c r="G53" s="1">
        <f>C53+D53+MIN(E53,4)+F53</f>
        <v>10</v>
      </c>
      <c r="H53" s="1">
        <f>D53+MIN(E53+F53,1)</f>
        <v>6</v>
      </c>
      <c r="I53" s="1">
        <f>IF(H53&gt;=4, 1, 0)</f>
        <v>1</v>
      </c>
      <c r="J53" s="1">
        <f>IF(G53&gt;=9, 1, 0)</f>
        <v>1</v>
      </c>
      <c r="K53" s="1">
        <f>IF(G53&gt;=11, 1, 0)</f>
        <v>0</v>
      </c>
      <c r="L53" s="1">
        <f>IF(K53+I53&gt;=2, 1, 0)</f>
        <v>0</v>
      </c>
      <c r="M53" s="1">
        <f>IF(J53+I53&gt;=2, 1, 0)</f>
        <v>1</v>
      </c>
      <c r="N53" s="1">
        <f>SUM(L53:M53)</f>
        <v>1</v>
      </c>
    </row>
    <row r="54" spans="1:14">
      <c r="A54" s="1" t="s">
        <v>125</v>
      </c>
      <c r="B54" s="1" t="s">
        <v>126</v>
      </c>
      <c r="C54" s="1">
        <v>1</v>
      </c>
      <c r="D54" s="1">
        <v>5</v>
      </c>
      <c r="E54" s="1">
        <v>4</v>
      </c>
      <c r="G54" s="1">
        <f>C54+D54+MIN(E54,4)+F54</f>
        <v>10</v>
      </c>
      <c r="H54" s="1">
        <f>D54+MIN(E54+F54,1)</f>
        <v>6</v>
      </c>
      <c r="I54" s="1">
        <f>IF(H54&gt;=4, 1, 0)</f>
        <v>1</v>
      </c>
      <c r="J54" s="1">
        <f>IF(G54&gt;=9, 1, 0)</f>
        <v>1</v>
      </c>
      <c r="K54" s="1">
        <f>IF(G54&gt;=11, 1, 0)</f>
        <v>0</v>
      </c>
      <c r="L54" s="1">
        <f>IF(K54+I54&gt;=2, 1, 0)</f>
        <v>0</v>
      </c>
      <c r="M54" s="1">
        <f>IF(J54+I54&gt;=2, 1, 0)</f>
        <v>1</v>
      </c>
      <c r="N54" s="1">
        <f>SUM(L54:M54)</f>
        <v>1</v>
      </c>
    </row>
    <row r="55" spans="1:14">
      <c r="A55" s="1" t="s">
        <v>115</v>
      </c>
      <c r="B55" s="1" t="s">
        <v>116</v>
      </c>
      <c r="C55" s="1">
        <v>3</v>
      </c>
      <c r="D55" s="1">
        <v>4</v>
      </c>
      <c r="E55" s="1">
        <v>3</v>
      </c>
      <c r="G55" s="1">
        <f>C55+D55+MIN(E55,4)+F55</f>
        <v>10</v>
      </c>
      <c r="H55" s="1">
        <f>D55+MIN(E55+F55,1)</f>
        <v>5</v>
      </c>
      <c r="I55" s="1">
        <f>IF(H55&gt;=4, 1, 0)</f>
        <v>1</v>
      </c>
      <c r="J55" s="1">
        <f>IF(G55&gt;=9, 1, 0)</f>
        <v>1</v>
      </c>
      <c r="K55" s="1">
        <f>IF(G55&gt;=11, 1, 0)</f>
        <v>0</v>
      </c>
      <c r="L55" s="1">
        <f>IF(K55+I55&gt;=2, 1, 0)</f>
        <v>0</v>
      </c>
      <c r="M55" s="1">
        <f>IF(J55+I55&gt;=2, 1, 0)</f>
        <v>1</v>
      </c>
      <c r="N55" s="1">
        <f>SUM(L55:M55)</f>
        <v>1</v>
      </c>
    </row>
    <row r="56" spans="1:14">
      <c r="A56" s="1" t="s">
        <v>108</v>
      </c>
      <c r="B56" s="1" t="s">
        <v>109</v>
      </c>
      <c r="C56" s="1">
        <v>5</v>
      </c>
      <c r="D56" s="1">
        <v>3</v>
      </c>
      <c r="E56" s="1">
        <v>2</v>
      </c>
      <c r="G56" s="1">
        <f>C56+D56+MIN(E56,4)+F56</f>
        <v>10</v>
      </c>
      <c r="H56" s="1">
        <f>D56+MIN(E56+F56,1)</f>
        <v>4</v>
      </c>
      <c r="I56" s="1">
        <f>IF(H56&gt;=4, 1, 0)</f>
        <v>1</v>
      </c>
      <c r="J56" s="1">
        <f>IF(G56&gt;=9, 1, 0)</f>
        <v>1</v>
      </c>
      <c r="K56" s="1">
        <f>IF(G56&gt;=11, 1, 0)</f>
        <v>0</v>
      </c>
      <c r="L56" s="1">
        <f>IF(K56+I56&gt;=2, 1, 0)</f>
        <v>0</v>
      </c>
      <c r="M56" s="1">
        <f>IF(J56+I56&gt;=2, 1, 0)</f>
        <v>1</v>
      </c>
      <c r="N56" s="1">
        <f>SUM(L56:M56)</f>
        <v>1</v>
      </c>
    </row>
    <row r="57" spans="1:14">
      <c r="A57" s="1" t="s">
        <v>127</v>
      </c>
      <c r="B57" s="1" t="s">
        <v>128</v>
      </c>
      <c r="C57" s="1">
        <v>1</v>
      </c>
      <c r="D57" s="1">
        <v>6</v>
      </c>
      <c r="E57" s="1">
        <v>2</v>
      </c>
      <c r="G57" s="1">
        <f>C57+D57+MIN(E57,4)+F57</f>
        <v>9</v>
      </c>
      <c r="H57" s="1">
        <f>D57+MIN(E57+F57,1)</f>
        <v>7</v>
      </c>
      <c r="I57" s="1">
        <f>IF(H57&gt;=4, 1, 0)</f>
        <v>1</v>
      </c>
      <c r="J57" s="1">
        <f>IF(G57&gt;=9, 1, 0)</f>
        <v>1</v>
      </c>
      <c r="K57" s="1">
        <f>IF(G57&gt;=11, 1, 0)</f>
        <v>0</v>
      </c>
      <c r="L57" s="1">
        <f>IF(K57+I57&gt;=2, 1, 0)</f>
        <v>0</v>
      </c>
      <c r="M57" s="1">
        <f>IF(J57+I57&gt;=2, 1, 0)</f>
        <v>1</v>
      </c>
      <c r="N57" s="1">
        <f>SUM(L57:M57)</f>
        <v>1</v>
      </c>
    </row>
    <row r="58" spans="1:14">
      <c r="A58" s="1" t="s">
        <v>78</v>
      </c>
      <c r="B58" s="1" t="s">
        <v>79</v>
      </c>
      <c r="C58" s="1">
        <v>3</v>
      </c>
      <c r="D58" s="1">
        <v>6</v>
      </c>
      <c r="E58" s="1">
        <v>0</v>
      </c>
      <c r="G58" s="1">
        <f>C58+D58+MIN(E58,4)+F58</f>
        <v>9</v>
      </c>
      <c r="H58" s="1">
        <f>D58+MIN(E58+F58,1)</f>
        <v>6</v>
      </c>
      <c r="I58" s="1">
        <f>IF(H58&gt;=4, 1, 0)</f>
        <v>1</v>
      </c>
      <c r="J58" s="1">
        <f>IF(G58&gt;=9, 1, 0)</f>
        <v>1</v>
      </c>
      <c r="K58" s="1">
        <f>IF(G58&gt;=11, 1, 0)</f>
        <v>0</v>
      </c>
      <c r="L58" s="1">
        <f>IF(K58+I58&gt;=2, 1, 0)</f>
        <v>0</v>
      </c>
      <c r="M58" s="1">
        <f>IF(J58+I58&gt;=2, 1, 0)</f>
        <v>1</v>
      </c>
      <c r="N58" s="1">
        <f>SUM(L58:M58)</f>
        <v>1</v>
      </c>
    </row>
    <row r="59" spans="1:14">
      <c r="A59" s="1" t="s">
        <v>90</v>
      </c>
      <c r="B59" s="1" t="s">
        <v>91</v>
      </c>
      <c r="C59" s="1">
        <v>3</v>
      </c>
      <c r="D59" s="1">
        <v>5</v>
      </c>
      <c r="E59" s="1">
        <v>1</v>
      </c>
      <c r="G59" s="1">
        <f>C59+D59+MIN(E59,4)+F59</f>
        <v>9</v>
      </c>
      <c r="H59" s="1">
        <f>D59+MIN(E59+F59,1)</f>
        <v>6</v>
      </c>
      <c r="I59" s="1">
        <f>IF(H59&gt;=4, 1, 0)</f>
        <v>1</v>
      </c>
      <c r="J59" s="1">
        <f>IF(G59&gt;=9, 1, 0)</f>
        <v>1</v>
      </c>
      <c r="K59" s="1">
        <f>IF(G59&gt;=11, 1, 0)</f>
        <v>0</v>
      </c>
      <c r="L59" s="1">
        <f>IF(K59+I59&gt;=2, 1, 0)</f>
        <v>0</v>
      </c>
      <c r="M59" s="1">
        <f>IF(J59+I59&gt;=2, 1, 0)</f>
        <v>1</v>
      </c>
      <c r="N59" s="1">
        <f>SUM(L59:M59)</f>
        <v>1</v>
      </c>
    </row>
    <row r="60" spans="1:14">
      <c r="A60" s="1" t="s">
        <v>106</v>
      </c>
      <c r="B60" s="1" t="s">
        <v>107</v>
      </c>
      <c r="C60" s="1">
        <v>3</v>
      </c>
      <c r="D60" s="1">
        <v>5</v>
      </c>
      <c r="E60" s="1">
        <v>0</v>
      </c>
      <c r="F60" s="1">
        <v>1</v>
      </c>
      <c r="G60" s="1">
        <f>C60+D60+MIN(E60,4)+F60</f>
        <v>9</v>
      </c>
      <c r="H60" s="1">
        <f>D60+MIN(E60+F60,1)</f>
        <v>6</v>
      </c>
      <c r="I60" s="1">
        <f>IF(H60&gt;=4, 1, 0)</f>
        <v>1</v>
      </c>
      <c r="J60" s="1">
        <f>IF(G60&gt;=9, 1, 0)</f>
        <v>1</v>
      </c>
      <c r="K60" s="1">
        <f>IF(G60&gt;=11, 1, 0)</f>
        <v>0</v>
      </c>
      <c r="L60" s="1">
        <f>IF(K60+I60&gt;=2, 1, 0)</f>
        <v>0</v>
      </c>
      <c r="M60" s="1">
        <f>IF(J60+I60&gt;=2, 1, 0)</f>
        <v>1</v>
      </c>
      <c r="N60" s="1">
        <f>SUM(L60:M60)</f>
        <v>1</v>
      </c>
    </row>
    <row r="61" spans="1:14">
      <c r="A61" s="1" t="s">
        <v>44</v>
      </c>
      <c r="B61" s="1" t="s">
        <v>45</v>
      </c>
      <c r="C61" s="1">
        <v>4</v>
      </c>
      <c r="D61" s="1">
        <v>5</v>
      </c>
      <c r="E61" s="1">
        <v>0</v>
      </c>
      <c r="G61" s="1">
        <f>C61+D61+MIN(E61,4)+F61</f>
        <v>9</v>
      </c>
      <c r="H61" s="1">
        <f>D61+MIN(E61+F61,1)</f>
        <v>5</v>
      </c>
      <c r="I61" s="1">
        <f>IF(H61&gt;=4, 1, 0)</f>
        <v>1</v>
      </c>
      <c r="J61" s="1">
        <f>IF(G61&gt;=9, 1, 0)</f>
        <v>1</v>
      </c>
      <c r="K61" s="1">
        <f>IF(G61&gt;=11, 1, 0)</f>
        <v>0</v>
      </c>
      <c r="L61" s="1">
        <f>IF(K61+I61&gt;=2, 1, 0)</f>
        <v>0</v>
      </c>
      <c r="M61" s="1">
        <f>IF(J61+I61&gt;=2, 1, 0)</f>
        <v>1</v>
      </c>
      <c r="N61" s="1">
        <f>SUM(L61:M61)</f>
        <v>1</v>
      </c>
    </row>
    <row r="62" spans="1:14">
      <c r="A62" s="1" t="s">
        <v>96</v>
      </c>
      <c r="B62" s="1" t="s">
        <v>97</v>
      </c>
      <c r="C62" s="1">
        <v>4</v>
      </c>
      <c r="D62" s="1">
        <v>5</v>
      </c>
      <c r="E62" s="1">
        <v>0</v>
      </c>
      <c r="G62" s="1">
        <f>C62+D62+MIN(E62,4)+F62</f>
        <v>9</v>
      </c>
      <c r="H62" s="1">
        <f>D62+MIN(E62+F62,1)</f>
        <v>5</v>
      </c>
      <c r="I62" s="1">
        <f>IF(H62&gt;=4, 1, 0)</f>
        <v>1</v>
      </c>
      <c r="J62" s="1">
        <f>IF(G62&gt;=9, 1, 0)</f>
        <v>1</v>
      </c>
      <c r="K62" s="1">
        <f>IF(G62&gt;=11, 1, 0)</f>
        <v>0</v>
      </c>
      <c r="L62" s="1">
        <f>IF(K62+I62&gt;=2, 1, 0)</f>
        <v>0</v>
      </c>
      <c r="M62" s="1">
        <f>IF(J62+I62&gt;=2, 1, 0)</f>
        <v>1</v>
      </c>
      <c r="N62" s="1">
        <f>SUM(L62:M62)</f>
        <v>1</v>
      </c>
    </row>
    <row r="63" spans="1:14">
      <c r="A63" s="1" t="s">
        <v>117</v>
      </c>
      <c r="B63" s="1" t="s">
        <v>118</v>
      </c>
      <c r="C63" s="1">
        <v>3</v>
      </c>
      <c r="D63" s="1">
        <v>4</v>
      </c>
      <c r="E63" s="1">
        <v>2</v>
      </c>
      <c r="G63" s="1">
        <f>C63+D63+MIN(E63,4)+F63</f>
        <v>9</v>
      </c>
      <c r="H63" s="1">
        <f>D63+MIN(E63+F63,1)</f>
        <v>5</v>
      </c>
      <c r="I63" s="1">
        <f>IF(H63&gt;=4, 1, 0)</f>
        <v>1</v>
      </c>
      <c r="J63" s="1">
        <f>IF(G63&gt;=9, 1, 0)</f>
        <v>1</v>
      </c>
      <c r="K63" s="1">
        <f>IF(G63&gt;=11, 1, 0)</f>
        <v>0</v>
      </c>
      <c r="L63" s="1">
        <f>IF(K63+I63&gt;=2, 1, 0)</f>
        <v>0</v>
      </c>
      <c r="M63" s="1">
        <f>IF(J63+I63&gt;=2, 1, 0)</f>
        <v>1</v>
      </c>
      <c r="N63" s="1">
        <f>SUM(L63:M63)</f>
        <v>1</v>
      </c>
    </row>
    <row r="64" spans="1:14">
      <c r="A64" s="1" t="s">
        <v>145</v>
      </c>
      <c r="B64" s="1" t="s">
        <v>146</v>
      </c>
      <c r="C64" s="1">
        <v>1</v>
      </c>
      <c r="D64" s="1">
        <v>4</v>
      </c>
      <c r="E64" s="1">
        <v>4</v>
      </c>
      <c r="G64" s="1">
        <f>C64+D64+MIN(E64,4)+F64</f>
        <v>9</v>
      </c>
      <c r="H64" s="1">
        <f>D64+MIN(E64+F64,1)</f>
        <v>5</v>
      </c>
      <c r="I64" s="1">
        <f>IF(H64&gt;=4, 1, 0)</f>
        <v>1</v>
      </c>
      <c r="J64" s="1">
        <f>IF(G64&gt;=9, 1, 0)</f>
        <v>1</v>
      </c>
      <c r="K64" s="1">
        <f>IF(G64&gt;=11, 1, 0)</f>
        <v>0</v>
      </c>
      <c r="L64" s="1">
        <f>IF(K64+I64&gt;=2, 1, 0)</f>
        <v>0</v>
      </c>
      <c r="M64" s="1">
        <f>IF(J64+I64&gt;=2, 1, 0)</f>
        <v>1</v>
      </c>
      <c r="N64" s="1">
        <f>SUM(L64:M64)</f>
        <v>1</v>
      </c>
    </row>
    <row r="65" spans="1:14">
      <c r="A65" s="1" t="s">
        <v>104</v>
      </c>
      <c r="B65" s="1" t="s">
        <v>105</v>
      </c>
      <c r="C65" s="1">
        <v>3</v>
      </c>
      <c r="D65" s="1">
        <v>3</v>
      </c>
      <c r="E65" s="1">
        <v>2</v>
      </c>
      <c r="F65" s="1">
        <v>1</v>
      </c>
      <c r="G65" s="1">
        <f>C65+D65+MIN(E65,4)+F65</f>
        <v>9</v>
      </c>
      <c r="H65" s="1">
        <f>D65+MIN(E65+F65,1)</f>
        <v>4</v>
      </c>
      <c r="I65" s="1">
        <f>IF(H65&gt;=4, 1, 0)</f>
        <v>1</v>
      </c>
      <c r="J65" s="1">
        <f>IF(G65&gt;=9, 1, 0)</f>
        <v>1</v>
      </c>
      <c r="K65" s="1">
        <f>IF(G65&gt;=11, 1, 0)</f>
        <v>0</v>
      </c>
      <c r="L65" s="1">
        <f>IF(K65+I65&gt;=2, 1, 0)</f>
        <v>0</v>
      </c>
      <c r="M65" s="1">
        <f>IF(J65+I65&gt;=2, 1, 0)</f>
        <v>1</v>
      </c>
      <c r="N65" s="1">
        <f>SUM(L65:M65)</f>
        <v>1</v>
      </c>
    </row>
    <row r="66" spans="1:14">
      <c r="A66" s="1" t="s">
        <v>88</v>
      </c>
      <c r="B66" s="1" t="s">
        <v>89</v>
      </c>
      <c r="C66" s="1">
        <v>6</v>
      </c>
      <c r="D66" s="1">
        <v>3</v>
      </c>
      <c r="E66" s="1">
        <v>0</v>
      </c>
      <c r="G66" s="1">
        <f>C66+D66+MIN(E66,4)+F66</f>
        <v>9</v>
      </c>
      <c r="H66" s="1">
        <f>D66+MIN(E66+F66,1)</f>
        <v>3</v>
      </c>
      <c r="I66" s="1">
        <f>IF(H66&gt;=4, 1, 0)</f>
        <v>0</v>
      </c>
      <c r="J66" s="1">
        <f>IF(G66&gt;=9, 1, 0)</f>
        <v>1</v>
      </c>
      <c r="K66" s="1">
        <f>IF(G66&gt;=11, 1, 0)</f>
        <v>0</v>
      </c>
      <c r="L66" s="1">
        <f>IF(K66+I66&gt;=2, 1, 0)</f>
        <v>0</v>
      </c>
      <c r="M66" s="1">
        <f>IF(J66+I66&gt;=2, 1, 0)</f>
        <v>0</v>
      </c>
      <c r="N66" s="1">
        <f>SUM(L66:M66)</f>
        <v>0</v>
      </c>
    </row>
    <row r="67" spans="1:14">
      <c r="A67" s="1" t="s">
        <v>119</v>
      </c>
      <c r="B67" s="1" t="s">
        <v>120</v>
      </c>
      <c r="C67" s="1">
        <v>3</v>
      </c>
      <c r="D67" s="1">
        <v>4</v>
      </c>
      <c r="E67" s="1">
        <v>0</v>
      </c>
      <c r="F67" s="1">
        <v>1</v>
      </c>
      <c r="G67" s="1">
        <f>C67+D67+MIN(E67,4)+F67</f>
        <v>8</v>
      </c>
      <c r="H67" s="1">
        <f>D67+MIN(E67+F67,1)</f>
        <v>5</v>
      </c>
      <c r="I67" s="1">
        <f>IF(H67&gt;=4, 1, 0)</f>
        <v>1</v>
      </c>
      <c r="J67" s="1">
        <f>IF(G67&gt;=9, 1, 0)</f>
        <v>0</v>
      </c>
      <c r="K67" s="1">
        <f>IF(G67&gt;=11, 1, 0)</f>
        <v>0</v>
      </c>
      <c r="L67" s="1">
        <f>IF(K67+I67&gt;=2, 1, 0)</f>
        <v>0</v>
      </c>
      <c r="M67" s="1">
        <f>IF(J67+I67&gt;=2, 1, 0)</f>
        <v>0</v>
      </c>
      <c r="N67" s="1">
        <f>SUM(L67:M67)</f>
        <v>0</v>
      </c>
    </row>
    <row r="68" spans="1:14">
      <c r="A68" s="1" t="s">
        <v>102</v>
      </c>
      <c r="B68" s="1" t="s">
        <v>103</v>
      </c>
      <c r="C68" s="1">
        <v>6</v>
      </c>
      <c r="D68" s="1">
        <v>1</v>
      </c>
      <c r="E68" s="1">
        <v>1</v>
      </c>
      <c r="G68" s="1">
        <f>C68+D68+MIN(E68,4)+F68</f>
        <v>8</v>
      </c>
      <c r="H68" s="1">
        <f>D68+MIN(E68+F68,1)</f>
        <v>2</v>
      </c>
      <c r="I68" s="1">
        <f>IF(H68&gt;=4, 1, 0)</f>
        <v>0</v>
      </c>
      <c r="J68" s="1">
        <f>IF(G68&gt;=9, 1, 0)</f>
        <v>0</v>
      </c>
      <c r="K68" s="1">
        <f>IF(G68&gt;=11, 1, 0)</f>
        <v>0</v>
      </c>
      <c r="L68" s="1">
        <f>IF(K68+I68&gt;=2, 1, 0)</f>
        <v>0</v>
      </c>
      <c r="M68" s="1">
        <f>IF(J68+I68&gt;=2, 1, 0)</f>
        <v>0</v>
      </c>
      <c r="N68" s="1">
        <f>SUM(L68:M68)</f>
        <v>0</v>
      </c>
    </row>
    <row r="69" spans="1:14">
      <c r="A69" s="1" t="s">
        <v>56</v>
      </c>
      <c r="B69" s="1" t="s">
        <v>57</v>
      </c>
      <c r="C69" s="1">
        <v>5</v>
      </c>
      <c r="D69" s="1">
        <v>2</v>
      </c>
      <c r="E69" s="1">
        <v>0</v>
      </c>
      <c r="G69" s="1">
        <f>C69+D69+MIN(E69,4)+F69</f>
        <v>7</v>
      </c>
      <c r="H69" s="1">
        <f>D69+MIN(E69+F69,1)</f>
        <v>2</v>
      </c>
      <c r="I69" s="1">
        <f>IF(H69&gt;=4, 1, 0)</f>
        <v>0</v>
      </c>
      <c r="J69" s="1">
        <f>IF(G69&gt;=9, 1, 0)</f>
        <v>0</v>
      </c>
      <c r="K69" s="1">
        <f>IF(G69&gt;=11, 1, 0)</f>
        <v>0</v>
      </c>
      <c r="L69" s="1">
        <f>IF(K69+I69&gt;=2, 1, 0)</f>
        <v>0</v>
      </c>
      <c r="M69" s="1">
        <f>IF(J69+I69&gt;=2, 1, 0)</f>
        <v>0</v>
      </c>
      <c r="N69" s="1">
        <f>SUM(L69:M69)</f>
        <v>0</v>
      </c>
    </row>
    <row r="70" spans="1:14">
      <c r="A70" s="1" t="s">
        <v>157</v>
      </c>
      <c r="B70" s="1" t="s">
        <v>158</v>
      </c>
      <c r="C70" s="1">
        <v>4</v>
      </c>
      <c r="D70" s="1">
        <v>1</v>
      </c>
      <c r="E70" s="1">
        <v>2</v>
      </c>
      <c r="G70" s="1">
        <f>C70+D70+MIN(E70,4)+F70</f>
        <v>7</v>
      </c>
      <c r="H70" s="1">
        <f>D70+MIN(E70+F70,1)</f>
        <v>2</v>
      </c>
      <c r="I70" s="1">
        <f>IF(H70&gt;=4, 1, 0)</f>
        <v>0</v>
      </c>
      <c r="J70" s="1">
        <f>IF(G70&gt;=9, 1, 0)</f>
        <v>0</v>
      </c>
      <c r="K70" s="1">
        <f>IF(G70&gt;=11, 1, 0)</f>
        <v>0</v>
      </c>
      <c r="L70" s="1">
        <f>IF(K70+I70&gt;=2, 1, 0)</f>
        <v>0</v>
      </c>
      <c r="M70" s="1">
        <f>IF(J70+I70&gt;=2, 1, 0)</f>
        <v>0</v>
      </c>
      <c r="N70" s="1">
        <f>SUM(L70:M70)</f>
        <v>0</v>
      </c>
    </row>
    <row r="71" spans="1:14">
      <c r="A71" s="1" t="s">
        <v>143</v>
      </c>
      <c r="B71" s="1" t="s">
        <v>144</v>
      </c>
      <c r="C71" s="1">
        <v>3.5</v>
      </c>
      <c r="D71" s="1">
        <v>3</v>
      </c>
      <c r="E71" s="1">
        <v>0</v>
      </c>
      <c r="G71" s="1">
        <f>C71+D71+MIN(E71,4)+F71</f>
        <v>6.5</v>
      </c>
      <c r="H71" s="1">
        <f>D71+MIN(E71+F71,1)</f>
        <v>3</v>
      </c>
      <c r="I71" s="1">
        <f>IF(H71&gt;=4, 1, 0)</f>
        <v>0</v>
      </c>
      <c r="J71" s="1">
        <f>IF(G71&gt;=9, 1, 0)</f>
        <v>0</v>
      </c>
      <c r="K71" s="1">
        <f>IF(G71&gt;=11, 1, 0)</f>
        <v>0</v>
      </c>
      <c r="L71" s="1">
        <f>IF(K71+I71&gt;=2, 1, 0)</f>
        <v>0</v>
      </c>
      <c r="M71" s="1">
        <f>IF(J71+I71&gt;=2, 1, 0)</f>
        <v>0</v>
      </c>
      <c r="N71" s="1">
        <f>SUM(L71:M71)</f>
        <v>0</v>
      </c>
    </row>
    <row r="72" spans="1:14">
      <c r="A72" s="1" t="s">
        <v>131</v>
      </c>
      <c r="B72" s="1" t="s">
        <v>132</v>
      </c>
      <c r="C72" s="1">
        <v>4.5</v>
      </c>
      <c r="D72" s="1">
        <v>2</v>
      </c>
      <c r="E72" s="1">
        <v>0</v>
      </c>
      <c r="G72" s="1">
        <f>C72+D72+MIN(E72,4)+F72</f>
        <v>6.5</v>
      </c>
      <c r="H72" s="1">
        <f>D72+MIN(E72+F72,1)</f>
        <v>2</v>
      </c>
      <c r="I72" s="1">
        <f>IF(H72&gt;=4, 1, 0)</f>
        <v>0</v>
      </c>
      <c r="J72" s="1">
        <f>IF(G72&gt;=9, 1, 0)</f>
        <v>0</v>
      </c>
      <c r="K72" s="1">
        <f>IF(G72&gt;=11, 1, 0)</f>
        <v>0</v>
      </c>
      <c r="L72" s="1">
        <f>IF(K72+I72&gt;=2, 1, 0)</f>
        <v>0</v>
      </c>
      <c r="M72" s="1">
        <f>IF(J72+I72&gt;=2, 1, 0)</f>
        <v>0</v>
      </c>
      <c r="N72" s="1">
        <f>SUM(L72:M72)</f>
        <v>0</v>
      </c>
    </row>
    <row r="73" spans="1:14">
      <c r="A73" s="1" t="s">
        <v>133</v>
      </c>
      <c r="B73" s="1" t="s">
        <v>134</v>
      </c>
      <c r="C73" s="1">
        <v>2</v>
      </c>
      <c r="D73" s="1">
        <v>3</v>
      </c>
      <c r="E73" s="1">
        <v>0</v>
      </c>
      <c r="G73" s="1">
        <f>C73+D73+MIN(E73,4)+F73</f>
        <v>5</v>
      </c>
      <c r="H73" s="1">
        <f>D73+MIN(E73+F73,1)</f>
        <v>3</v>
      </c>
      <c r="I73" s="1">
        <f>IF(H73&gt;=4, 1, 0)</f>
        <v>0</v>
      </c>
      <c r="J73" s="1">
        <f>IF(G73&gt;=9, 1, 0)</f>
        <v>0</v>
      </c>
      <c r="K73" s="1">
        <f>IF(G73&gt;=11, 1, 0)</f>
        <v>0</v>
      </c>
      <c r="L73" s="1">
        <f>IF(K73+I73&gt;=2, 1, 0)</f>
        <v>0</v>
      </c>
      <c r="M73" s="1">
        <f>IF(J73+I73&gt;=2, 1, 0)</f>
        <v>0</v>
      </c>
      <c r="N73" s="1">
        <f>SUM(L73:M73)</f>
        <v>0</v>
      </c>
    </row>
    <row r="74" spans="1:14">
      <c r="A74" s="1" t="s">
        <v>139</v>
      </c>
      <c r="B74" s="1" t="s">
        <v>140</v>
      </c>
      <c r="C74" s="1">
        <v>4</v>
      </c>
      <c r="D74" s="1">
        <v>0</v>
      </c>
      <c r="E74" s="1">
        <v>1</v>
      </c>
      <c r="G74" s="1">
        <f>C74+D74+MIN(E74,4)+F74</f>
        <v>5</v>
      </c>
      <c r="H74" s="1">
        <f>D74+MIN(E74+F74,1)</f>
        <v>1</v>
      </c>
      <c r="I74" s="1">
        <f>IF(H74&gt;=4, 1, 0)</f>
        <v>0</v>
      </c>
      <c r="J74" s="1">
        <f>IF(G74&gt;=9, 1, 0)</f>
        <v>0</v>
      </c>
      <c r="K74" s="1">
        <f>IF(G74&gt;=11, 1, 0)</f>
        <v>0</v>
      </c>
      <c r="L74" s="1">
        <f>IF(K74+I74&gt;=2, 1, 0)</f>
        <v>0</v>
      </c>
      <c r="M74" s="1">
        <f>IF(J74+I74&gt;=2, 1, 0)</f>
        <v>0</v>
      </c>
      <c r="N74" s="1">
        <f>SUM(L74:M74)</f>
        <v>0</v>
      </c>
    </row>
    <row r="75" spans="1:14">
      <c r="A75" s="1" t="s">
        <v>173</v>
      </c>
      <c r="B75" s="1" t="s">
        <v>174</v>
      </c>
      <c r="C75" s="1">
        <v>3</v>
      </c>
      <c r="D75" s="1">
        <v>0</v>
      </c>
      <c r="E75" s="1">
        <v>2</v>
      </c>
      <c r="G75" s="1">
        <f>C75+D75+MIN(E75,4)+F75</f>
        <v>5</v>
      </c>
      <c r="H75" s="1">
        <f>D75+MIN(E75+F75,1)</f>
        <v>1</v>
      </c>
      <c r="I75" s="1">
        <f>IF(H75&gt;=4, 1, 0)</f>
        <v>0</v>
      </c>
      <c r="J75" s="1">
        <f>IF(G75&gt;=9, 1, 0)</f>
        <v>0</v>
      </c>
      <c r="K75" s="1">
        <f>IF(G75&gt;=11, 1, 0)</f>
        <v>0</v>
      </c>
      <c r="L75" s="1">
        <f>IF(K75+I75&gt;=2, 1, 0)</f>
        <v>0</v>
      </c>
      <c r="M75" s="1">
        <f>IF(J75+I75&gt;=2, 1, 0)</f>
        <v>0</v>
      </c>
      <c r="N75" s="1">
        <f>SUM(L75:M75)</f>
        <v>0</v>
      </c>
    </row>
    <row r="76" spans="1:14">
      <c r="A76" s="1" t="s">
        <v>129</v>
      </c>
      <c r="B76" s="1" t="s">
        <v>130</v>
      </c>
      <c r="C76" s="1">
        <v>5</v>
      </c>
      <c r="D76" s="1">
        <v>0</v>
      </c>
      <c r="E76" s="1">
        <v>0</v>
      </c>
      <c r="G76" s="1">
        <f>C76+D76+MIN(E76,4)+F76</f>
        <v>5</v>
      </c>
      <c r="H76" s="1">
        <f>D76+MIN(E76+F76,1)</f>
        <v>0</v>
      </c>
      <c r="I76" s="1">
        <f>IF(H76&gt;=4, 1, 0)</f>
        <v>0</v>
      </c>
      <c r="J76" s="1">
        <f>IF(G76&gt;=9, 1, 0)</f>
        <v>0</v>
      </c>
      <c r="K76" s="1">
        <f>IF(G76&gt;=11, 1, 0)</f>
        <v>0</v>
      </c>
      <c r="L76" s="1">
        <f>IF(K76+I76&gt;=2, 1, 0)</f>
        <v>0</v>
      </c>
      <c r="M76" s="1">
        <f>IF(J76+I76&gt;=2, 1, 0)</f>
        <v>0</v>
      </c>
      <c r="N76" s="1">
        <f>SUM(L76:M76)</f>
        <v>0</v>
      </c>
    </row>
    <row r="77" spans="1:14">
      <c r="A77" s="1" t="s">
        <v>175</v>
      </c>
      <c r="B77" s="1" t="s">
        <v>176</v>
      </c>
      <c r="C77" s="1">
        <v>2</v>
      </c>
      <c r="D77" s="1">
        <v>1</v>
      </c>
      <c r="E77" s="1">
        <v>1</v>
      </c>
      <c r="G77" s="1">
        <f>C77+D77+MIN(E77,4)+F77</f>
        <v>4</v>
      </c>
      <c r="H77" s="1">
        <f>D77+MIN(E77+F77,1)</f>
        <v>2</v>
      </c>
      <c r="I77" s="1">
        <f>IF(H77&gt;=4, 1, 0)</f>
        <v>0</v>
      </c>
      <c r="J77" s="1">
        <f>IF(G77&gt;=9, 1, 0)</f>
        <v>0</v>
      </c>
      <c r="K77" s="1">
        <f>IF(G77&gt;=11, 1, 0)</f>
        <v>0</v>
      </c>
      <c r="L77" s="1">
        <f>IF(K77+I77&gt;=2, 1, 0)</f>
        <v>0</v>
      </c>
      <c r="M77" s="1">
        <f>IF(J77+I77&gt;=2, 1, 0)</f>
        <v>0</v>
      </c>
      <c r="N77" s="1">
        <f>SUM(L77:M77)</f>
        <v>0</v>
      </c>
    </row>
    <row r="78" spans="1:14">
      <c r="A78" s="1" t="s">
        <v>251</v>
      </c>
      <c r="B78" s="1" t="s">
        <v>252</v>
      </c>
      <c r="C78" s="1">
        <v>1</v>
      </c>
      <c r="D78" s="1">
        <v>0</v>
      </c>
      <c r="E78" s="1">
        <v>3</v>
      </c>
      <c r="G78" s="1">
        <f>C78+D78+MIN(E78,4)+F78</f>
        <v>4</v>
      </c>
      <c r="H78" s="1">
        <f>D78+MIN(E78+F78,1)</f>
        <v>1</v>
      </c>
      <c r="I78" s="1">
        <f>IF(H78&gt;=4, 1, 0)</f>
        <v>0</v>
      </c>
      <c r="J78" s="1">
        <f>IF(G78&gt;=9, 1, 0)</f>
        <v>0</v>
      </c>
      <c r="K78" s="1">
        <f>IF(G78&gt;=11, 1, 0)</f>
        <v>0</v>
      </c>
      <c r="L78" s="1">
        <f>IF(K78+I78&gt;=2, 1, 0)</f>
        <v>0</v>
      </c>
      <c r="M78" s="1">
        <f>IF(J78+I78&gt;=2, 1, 0)</f>
        <v>0</v>
      </c>
      <c r="N78" s="1">
        <f>SUM(L78:M78)</f>
        <v>0</v>
      </c>
    </row>
    <row r="79" spans="1:14">
      <c r="A79" s="1" t="s">
        <v>153</v>
      </c>
      <c r="B79" s="1" t="s">
        <v>154</v>
      </c>
      <c r="C79" s="1">
        <v>4</v>
      </c>
      <c r="D79" s="1">
        <v>0</v>
      </c>
      <c r="E79" s="1">
        <v>0</v>
      </c>
      <c r="G79" s="1">
        <f>C79+D79+MIN(E79,4)+F79</f>
        <v>4</v>
      </c>
      <c r="H79" s="1">
        <f>D79+MIN(E79+F79,1)</f>
        <v>0</v>
      </c>
      <c r="I79" s="1">
        <f>IF(H79&gt;=4, 1, 0)</f>
        <v>0</v>
      </c>
      <c r="J79" s="1">
        <f>IF(G79&gt;=9, 1, 0)</f>
        <v>0</v>
      </c>
      <c r="K79" s="1">
        <f>IF(G79&gt;=11, 1, 0)</f>
        <v>0</v>
      </c>
      <c r="L79" s="1">
        <f>IF(K79+I79&gt;=2, 1, 0)</f>
        <v>0</v>
      </c>
      <c r="M79" s="1">
        <f>IF(J79+I79&gt;=2, 1, 0)</f>
        <v>0</v>
      </c>
      <c r="N79" s="1">
        <f>SUM(L79:M79)</f>
        <v>0</v>
      </c>
    </row>
    <row r="80" spans="1:14">
      <c r="A80" s="1" t="s">
        <v>155</v>
      </c>
      <c r="B80" s="1" t="s">
        <v>156</v>
      </c>
      <c r="C80" s="1">
        <v>4</v>
      </c>
      <c r="D80" s="1">
        <v>0</v>
      </c>
      <c r="E80" s="1">
        <v>0</v>
      </c>
      <c r="G80" s="1">
        <f>C80+D80+MIN(E80,4)+F80</f>
        <v>4</v>
      </c>
      <c r="H80" s="1">
        <f>D80+MIN(E80+F80,1)</f>
        <v>0</v>
      </c>
      <c r="I80" s="1">
        <f>IF(H80&gt;=4, 1, 0)</f>
        <v>0</v>
      </c>
      <c r="J80" s="1">
        <f>IF(G80&gt;=9, 1, 0)</f>
        <v>0</v>
      </c>
      <c r="K80" s="1">
        <f>IF(G80&gt;=11, 1, 0)</f>
        <v>0</v>
      </c>
      <c r="L80" s="1">
        <f>IF(K80+I80&gt;=2, 1, 0)</f>
        <v>0</v>
      </c>
      <c r="M80" s="1">
        <f>IF(J80+I80&gt;=2, 1, 0)</f>
        <v>0</v>
      </c>
      <c r="N80" s="1">
        <f>SUM(L80:M80)</f>
        <v>0</v>
      </c>
    </row>
    <row r="81" spans="1:14">
      <c r="A81" s="1" t="s">
        <v>167</v>
      </c>
      <c r="B81" s="1" t="s">
        <v>168</v>
      </c>
      <c r="C81" s="1">
        <v>2.5</v>
      </c>
      <c r="D81" s="1">
        <v>0</v>
      </c>
      <c r="E81" s="1">
        <v>0</v>
      </c>
      <c r="F81" s="1">
        <v>1</v>
      </c>
      <c r="G81" s="1">
        <f>C81+D81+MIN(E81,4)+F81</f>
        <v>3.5</v>
      </c>
      <c r="H81" s="1">
        <f>D81+MIN(E81+F81,1)</f>
        <v>1</v>
      </c>
      <c r="I81" s="1">
        <f>IF(H81&gt;=4, 1, 0)</f>
        <v>0</v>
      </c>
      <c r="J81" s="1">
        <f>IF(G81&gt;=9, 1, 0)</f>
        <v>0</v>
      </c>
      <c r="K81" s="1">
        <f>IF(G81&gt;=11, 1, 0)</f>
        <v>0</v>
      </c>
      <c r="L81" s="1">
        <f>IF(K81+I81&gt;=2, 1, 0)</f>
        <v>0</v>
      </c>
      <c r="M81" s="1">
        <f>IF(J81+I81&gt;=2, 1, 0)</f>
        <v>0</v>
      </c>
      <c r="N81" s="1">
        <f>SUM(L81:M81)</f>
        <v>0</v>
      </c>
    </row>
    <row r="82" spans="1:14">
      <c r="A82" s="1" t="s">
        <v>218</v>
      </c>
      <c r="B82" s="1" t="s">
        <v>219</v>
      </c>
      <c r="C82" s="1">
        <v>0</v>
      </c>
      <c r="D82" s="1">
        <v>2</v>
      </c>
      <c r="E82" s="1">
        <v>0</v>
      </c>
      <c r="F82" s="1">
        <v>1</v>
      </c>
      <c r="G82" s="1">
        <f>C82+D82+MIN(E82,4)+F82</f>
        <v>3</v>
      </c>
      <c r="H82" s="1">
        <f>D82+MIN(E82+F82,1)</f>
        <v>3</v>
      </c>
      <c r="I82" s="1">
        <f>IF(H82&gt;=4, 1, 0)</f>
        <v>0</v>
      </c>
      <c r="J82" s="1">
        <f>IF(G82&gt;=9, 1, 0)</f>
        <v>0</v>
      </c>
      <c r="K82" s="1">
        <f>IF(G82&gt;=11, 1, 0)</f>
        <v>0</v>
      </c>
      <c r="L82" s="1">
        <f>IF(K82+I82&gt;=2, 1, 0)</f>
        <v>0</v>
      </c>
      <c r="M82" s="1">
        <f>IF(J82+I82&gt;=2, 1, 0)</f>
        <v>0</v>
      </c>
      <c r="N82" s="1">
        <f>SUM(L82:M82)</f>
        <v>0</v>
      </c>
    </row>
    <row r="83" spans="1:14">
      <c r="A83" s="1" t="s">
        <v>141</v>
      </c>
      <c r="B83" s="1" t="s">
        <v>142</v>
      </c>
      <c r="C83" s="1">
        <v>2</v>
      </c>
      <c r="D83" s="1">
        <v>1</v>
      </c>
      <c r="E83" s="1">
        <v>0</v>
      </c>
      <c r="G83" s="1">
        <f>C83+D83+MIN(E83,4)+F83</f>
        <v>3</v>
      </c>
      <c r="H83" s="1">
        <f>D83+MIN(E83+F83,1)</f>
        <v>1</v>
      </c>
      <c r="I83" s="1">
        <f>IF(H83&gt;=4, 1, 0)</f>
        <v>0</v>
      </c>
      <c r="J83" s="1">
        <f>IF(G83&gt;=9, 1, 0)</f>
        <v>0</v>
      </c>
      <c r="K83" s="1">
        <f>IF(G83&gt;=11, 1, 0)</f>
        <v>0</v>
      </c>
      <c r="L83" s="1">
        <f>IF(K83+I83&gt;=2, 1, 0)</f>
        <v>0</v>
      </c>
      <c r="M83" s="1">
        <f>IF(J83+I83&gt;=2, 1, 0)</f>
        <v>0</v>
      </c>
      <c r="N83" s="1">
        <f>SUM(L83:M83)</f>
        <v>0</v>
      </c>
    </row>
    <row r="84" spans="1:14">
      <c r="A84" s="1" t="s">
        <v>177</v>
      </c>
      <c r="B84" s="1" t="s">
        <v>178</v>
      </c>
      <c r="C84" s="1">
        <v>2</v>
      </c>
      <c r="D84" s="1">
        <v>1</v>
      </c>
      <c r="E84" s="1">
        <v>0</v>
      </c>
      <c r="G84" s="1">
        <f>C84+D84+MIN(E84,4)+F84</f>
        <v>3</v>
      </c>
      <c r="H84" s="1">
        <f>D84+MIN(E84+F84,1)</f>
        <v>1</v>
      </c>
      <c r="I84" s="1">
        <f>IF(H84&gt;=4, 1, 0)</f>
        <v>0</v>
      </c>
      <c r="J84" s="1">
        <f>IF(G84&gt;=9, 1, 0)</f>
        <v>0</v>
      </c>
      <c r="K84" s="1">
        <f>IF(G84&gt;=11, 1, 0)</f>
        <v>0</v>
      </c>
      <c r="L84" s="1">
        <f>IF(K84+I84&gt;=2, 1, 0)</f>
        <v>0</v>
      </c>
      <c r="M84" s="1">
        <f>IF(J84+I84&gt;=2, 1, 0)</f>
        <v>0</v>
      </c>
      <c r="N84" s="1">
        <f>SUM(L84:M84)</f>
        <v>0</v>
      </c>
    </row>
    <row r="85" spans="1:14">
      <c r="A85" s="1" t="s">
        <v>185</v>
      </c>
      <c r="B85" s="1" t="s">
        <v>186</v>
      </c>
      <c r="C85" s="1">
        <v>2</v>
      </c>
      <c r="D85" s="1">
        <v>0</v>
      </c>
      <c r="E85" s="1">
        <v>0</v>
      </c>
      <c r="F85" s="1">
        <v>1</v>
      </c>
      <c r="G85" s="1">
        <f>C85+D85+MIN(E85,4)+F85</f>
        <v>3</v>
      </c>
      <c r="H85" s="1">
        <f>D85+MIN(E85+F85,1)</f>
        <v>1</v>
      </c>
      <c r="I85" s="1">
        <f>IF(H85&gt;=4, 1, 0)</f>
        <v>0</v>
      </c>
      <c r="J85" s="1">
        <f>IF(G85&gt;=9, 1, 0)</f>
        <v>0</v>
      </c>
      <c r="K85" s="1">
        <f>IF(G85&gt;=11, 1, 0)</f>
        <v>0</v>
      </c>
      <c r="L85" s="1">
        <f>IF(K85+I85&gt;=2, 1, 0)</f>
        <v>0</v>
      </c>
      <c r="M85" s="1">
        <f>IF(J85+I85&gt;=2, 1, 0)</f>
        <v>0</v>
      </c>
      <c r="N85" s="1">
        <f>SUM(L85:M85)</f>
        <v>0</v>
      </c>
    </row>
    <row r="86" spans="1:14">
      <c r="A86" s="1" t="s">
        <v>187</v>
      </c>
      <c r="B86" s="1" t="s">
        <v>188</v>
      </c>
      <c r="C86" s="1">
        <v>1</v>
      </c>
      <c r="D86" s="1">
        <v>0</v>
      </c>
      <c r="E86" s="1">
        <v>1</v>
      </c>
      <c r="F86" s="1">
        <v>1</v>
      </c>
      <c r="G86" s="1">
        <f>C86+D86+MIN(E86,4)+F86</f>
        <v>3</v>
      </c>
      <c r="H86" s="1">
        <f>D86+MIN(E86+F86,1)</f>
        <v>1</v>
      </c>
      <c r="I86" s="1">
        <f>IF(H86&gt;=4, 1, 0)</f>
        <v>0</v>
      </c>
      <c r="J86" s="1">
        <f>IF(G86&gt;=9, 1, 0)</f>
        <v>0</v>
      </c>
      <c r="K86" s="1">
        <f>IF(G86&gt;=11, 1, 0)</f>
        <v>0</v>
      </c>
      <c r="L86" s="1">
        <f>IF(K86+I86&gt;=2, 1, 0)</f>
        <v>0</v>
      </c>
      <c r="M86" s="1">
        <f>IF(J86+I86&gt;=2, 1, 0)</f>
        <v>0</v>
      </c>
      <c r="N86" s="1">
        <f>SUM(L86:M86)</f>
        <v>0</v>
      </c>
    </row>
    <row r="87" spans="1:14">
      <c r="A87" s="1" t="s">
        <v>214</v>
      </c>
      <c r="B87" s="1" t="s">
        <v>215</v>
      </c>
      <c r="C87" s="1">
        <v>2</v>
      </c>
      <c r="D87" s="1">
        <v>0</v>
      </c>
      <c r="E87" s="1">
        <v>0</v>
      </c>
      <c r="F87" s="1">
        <v>1</v>
      </c>
      <c r="G87" s="1">
        <f>C87+D87+MIN(E87,4)+F87</f>
        <v>3</v>
      </c>
      <c r="H87" s="1">
        <f>D87+MIN(E87+F87,1)</f>
        <v>1</v>
      </c>
      <c r="I87" s="1">
        <f>IF(H87&gt;=4, 1, 0)</f>
        <v>0</v>
      </c>
      <c r="J87" s="1">
        <f>IF(G87&gt;=9, 1, 0)</f>
        <v>0</v>
      </c>
      <c r="K87" s="1">
        <f>IF(G87&gt;=11, 1, 0)</f>
        <v>0</v>
      </c>
      <c r="L87" s="1">
        <f>IF(K87+I87&gt;=2, 1, 0)</f>
        <v>0</v>
      </c>
      <c r="M87" s="1">
        <f>IF(J87+I87&gt;=2, 1, 0)</f>
        <v>0</v>
      </c>
      <c r="N87" s="1">
        <f>SUM(L87:M87)</f>
        <v>0</v>
      </c>
    </row>
    <row r="88" spans="1:14">
      <c r="A88" s="1" t="s">
        <v>137</v>
      </c>
      <c r="B88" s="1" t="s">
        <v>138</v>
      </c>
      <c r="C88" s="1">
        <v>3</v>
      </c>
      <c r="D88" s="1">
        <v>0</v>
      </c>
      <c r="E88" s="1">
        <v>0</v>
      </c>
      <c r="G88" s="1">
        <f>C88+D88+MIN(E88,4)+F88</f>
        <v>3</v>
      </c>
      <c r="H88" s="1">
        <f>D88+MIN(E88+F88,1)</f>
        <v>0</v>
      </c>
      <c r="I88" s="1">
        <f>IF(H88&gt;=4, 1, 0)</f>
        <v>0</v>
      </c>
      <c r="J88" s="1">
        <f>IF(G88&gt;=9, 1, 0)</f>
        <v>0</v>
      </c>
      <c r="K88" s="1">
        <f>IF(G88&gt;=11, 1, 0)</f>
        <v>0</v>
      </c>
      <c r="L88" s="1">
        <f>IF(K88+I88&gt;=2, 1, 0)</f>
        <v>0</v>
      </c>
      <c r="M88" s="1">
        <f>IF(J88+I88&gt;=2, 1, 0)</f>
        <v>0</v>
      </c>
      <c r="N88" s="1">
        <f>SUM(L88:M88)</f>
        <v>0</v>
      </c>
    </row>
    <row r="89" spans="1:14">
      <c r="A89" s="1" t="s">
        <v>169</v>
      </c>
      <c r="B89" s="1" t="s">
        <v>170</v>
      </c>
      <c r="C89" s="1">
        <v>3</v>
      </c>
      <c r="D89" s="1">
        <v>0</v>
      </c>
      <c r="E89" s="1">
        <v>0</v>
      </c>
      <c r="G89" s="1">
        <f>C89+D89+MIN(E89,4)+F89</f>
        <v>3</v>
      </c>
      <c r="H89" s="1">
        <f>D89+MIN(E89+F89,1)</f>
        <v>0</v>
      </c>
      <c r="I89" s="1">
        <f>IF(H89&gt;=4, 1, 0)</f>
        <v>0</v>
      </c>
      <c r="J89" s="1">
        <f>IF(G89&gt;=9, 1, 0)</f>
        <v>0</v>
      </c>
      <c r="K89" s="1">
        <f>IF(G89&gt;=11, 1, 0)</f>
        <v>0</v>
      </c>
      <c r="L89" s="1">
        <f>IF(K89+I89&gt;=2, 1, 0)</f>
        <v>0</v>
      </c>
      <c r="M89" s="1">
        <f>IF(J89+I89&gt;=2, 1, 0)</f>
        <v>0</v>
      </c>
      <c r="N89" s="1">
        <f>SUM(L89:M89)</f>
        <v>0</v>
      </c>
    </row>
    <row r="90" spans="1:14">
      <c r="A90" s="1" t="s">
        <v>210</v>
      </c>
      <c r="B90" s="1" t="s">
        <v>211</v>
      </c>
      <c r="C90" s="1">
        <v>3</v>
      </c>
      <c r="D90" s="1">
        <v>0</v>
      </c>
      <c r="E90" s="1">
        <v>0</v>
      </c>
      <c r="G90" s="1">
        <f>C90+D90+MIN(E90,4)+F90</f>
        <v>3</v>
      </c>
      <c r="H90" s="1">
        <f>D90+MIN(E90+F90,1)</f>
        <v>0</v>
      </c>
      <c r="I90" s="1">
        <f>IF(H90&gt;=4, 1, 0)</f>
        <v>0</v>
      </c>
      <c r="J90" s="1">
        <f>IF(G90&gt;=9, 1, 0)</f>
        <v>0</v>
      </c>
      <c r="K90" s="1">
        <f>IF(G90&gt;=11, 1, 0)</f>
        <v>0</v>
      </c>
      <c r="L90" s="1">
        <f>IF(K90+I90&gt;=2, 1, 0)</f>
        <v>0</v>
      </c>
      <c r="M90" s="1">
        <f>IF(J90+I90&gt;=2, 1, 0)</f>
        <v>0</v>
      </c>
      <c r="N90" s="1">
        <f>SUM(L90:M90)</f>
        <v>0</v>
      </c>
    </row>
    <row r="91" spans="1:14">
      <c r="A91" s="1" t="s">
        <v>280</v>
      </c>
      <c r="B91" s="1" t="s">
        <v>281</v>
      </c>
      <c r="C91" s="1">
        <v>1</v>
      </c>
      <c r="D91" s="1">
        <v>0</v>
      </c>
      <c r="E91" s="1">
        <v>1.5</v>
      </c>
      <c r="G91" s="1">
        <f>C91+D91+MIN(E91,4)+F91</f>
        <v>2.5</v>
      </c>
      <c r="H91" s="1">
        <f>D91+MIN(E91+F91,1)</f>
        <v>1</v>
      </c>
      <c r="I91" s="1">
        <f>IF(H91&gt;=4, 1, 0)</f>
        <v>0</v>
      </c>
      <c r="J91" s="1">
        <f>IF(G91&gt;=9, 1, 0)</f>
        <v>0</v>
      </c>
      <c r="K91" s="1">
        <f>IF(G91&gt;=11, 1, 0)</f>
        <v>0</v>
      </c>
      <c r="L91" s="1">
        <f>IF(K91+I91&gt;=2, 1, 0)</f>
        <v>0</v>
      </c>
      <c r="M91" s="1">
        <f>IF(J91+I91&gt;=2, 1, 0)</f>
        <v>0</v>
      </c>
      <c r="N91" s="1">
        <f>SUM(L91:M91)</f>
        <v>0</v>
      </c>
    </row>
    <row r="92" spans="1:14">
      <c r="A92" s="1" t="s">
        <v>206</v>
      </c>
      <c r="B92" s="1" t="s">
        <v>207</v>
      </c>
      <c r="C92" s="1">
        <v>0</v>
      </c>
      <c r="D92" s="1">
        <v>1</v>
      </c>
      <c r="E92" s="1">
        <v>1</v>
      </c>
      <c r="G92" s="1">
        <f>C92+D92+MIN(E92,4)+F92</f>
        <v>2</v>
      </c>
      <c r="H92" s="1">
        <f>D92+MIN(E92+F92,1)</f>
        <v>2</v>
      </c>
      <c r="I92" s="1">
        <f>IF(H92&gt;=4, 1, 0)</f>
        <v>0</v>
      </c>
      <c r="J92" s="1">
        <f>IF(G92&gt;=9, 1, 0)</f>
        <v>0</v>
      </c>
      <c r="K92" s="1">
        <f>IF(G92&gt;=11, 1, 0)</f>
        <v>0</v>
      </c>
      <c r="L92" s="1">
        <f>IF(K92+I92&gt;=2, 1, 0)</f>
        <v>0</v>
      </c>
      <c r="M92" s="1">
        <f>IF(J92+I92&gt;=2, 1, 0)</f>
        <v>0</v>
      </c>
      <c r="N92" s="1">
        <f>SUM(L92:M92)</f>
        <v>0</v>
      </c>
    </row>
    <row r="93" spans="1:14">
      <c r="A93" s="1" t="s">
        <v>304</v>
      </c>
      <c r="B93" s="1" t="s">
        <v>349</v>
      </c>
      <c r="C93" s="1">
        <v>0</v>
      </c>
      <c r="D93" s="1">
        <v>1.5</v>
      </c>
      <c r="E93" s="1">
        <v>0.5</v>
      </c>
      <c r="G93" s="1">
        <f>C93+D93+MIN(E93,4)+F93</f>
        <v>2</v>
      </c>
      <c r="H93" s="1">
        <f>D93+MIN(E93+F93,1)</f>
        <v>2</v>
      </c>
      <c r="I93" s="1">
        <f>IF(H93&gt;=4, 1, 0)</f>
        <v>0</v>
      </c>
      <c r="J93" s="1">
        <f>IF(G93&gt;=9, 1, 0)</f>
        <v>0</v>
      </c>
      <c r="K93" s="1">
        <f>IF(G93&gt;=11, 1, 0)</f>
        <v>0</v>
      </c>
      <c r="L93" s="1">
        <f>IF(K93+I93&gt;=2, 1, 0)</f>
        <v>0</v>
      </c>
      <c r="M93" s="1">
        <f>IF(J93+I93&gt;=2, 1, 0)</f>
        <v>0</v>
      </c>
      <c r="N93" s="1">
        <f>SUM(L93:M93)</f>
        <v>0</v>
      </c>
    </row>
    <row r="94" spans="1:14">
      <c r="A94" s="1" t="s">
        <v>171</v>
      </c>
      <c r="B94" s="1" t="s">
        <v>172</v>
      </c>
      <c r="C94" s="1">
        <v>1</v>
      </c>
      <c r="D94" s="1">
        <v>1</v>
      </c>
      <c r="E94" s="1">
        <v>0</v>
      </c>
      <c r="G94" s="1">
        <f>C94+D94+MIN(E94,4)+F94</f>
        <v>2</v>
      </c>
      <c r="H94" s="1">
        <f>D94+MIN(E94+F94,1)</f>
        <v>1</v>
      </c>
      <c r="I94" s="1">
        <f>IF(H94&gt;=4, 1, 0)</f>
        <v>0</v>
      </c>
      <c r="J94" s="1">
        <f>IF(G94&gt;=9, 1, 0)</f>
        <v>0</v>
      </c>
      <c r="K94" s="1">
        <f>IF(G94&gt;=11, 1, 0)</f>
        <v>0</v>
      </c>
      <c r="L94" s="1">
        <f>IF(K94+I94&gt;=2, 1, 0)</f>
        <v>0</v>
      </c>
      <c r="M94" s="1">
        <f>IF(J94+I94&gt;=2, 1, 0)</f>
        <v>0</v>
      </c>
      <c r="N94" s="1">
        <f>SUM(L94:M94)</f>
        <v>0</v>
      </c>
    </row>
    <row r="95" spans="1:14">
      <c r="A95" s="1" t="s">
        <v>191</v>
      </c>
      <c r="B95" s="1" t="s">
        <v>192</v>
      </c>
      <c r="C95" s="1">
        <v>1</v>
      </c>
      <c r="D95" s="1">
        <v>0</v>
      </c>
      <c r="E95" s="1">
        <v>1</v>
      </c>
      <c r="G95" s="1">
        <f>C95+D95+MIN(E95,4)+F95</f>
        <v>2</v>
      </c>
      <c r="H95" s="1">
        <f>D95+MIN(E95+F95,1)</f>
        <v>1</v>
      </c>
      <c r="I95" s="1">
        <f>IF(H95&gt;=4, 1, 0)</f>
        <v>0</v>
      </c>
      <c r="J95" s="1">
        <f>IF(G95&gt;=9, 1, 0)</f>
        <v>0</v>
      </c>
      <c r="K95" s="1">
        <f>IF(G95&gt;=11, 1, 0)</f>
        <v>0</v>
      </c>
      <c r="L95" s="1">
        <f>IF(K95+I95&gt;=2, 1, 0)</f>
        <v>0</v>
      </c>
      <c r="M95" s="1">
        <f>IF(J95+I95&gt;=2, 1, 0)</f>
        <v>0</v>
      </c>
      <c r="N95" s="1">
        <f>SUM(L95:M95)</f>
        <v>0</v>
      </c>
    </row>
    <row r="96" spans="1:14">
      <c r="A96" s="1" t="s">
        <v>290</v>
      </c>
      <c r="B96" s="1" t="s">
        <v>291</v>
      </c>
      <c r="C96" s="1">
        <v>1</v>
      </c>
      <c r="D96" s="1">
        <v>1</v>
      </c>
      <c r="E96" s="1">
        <v>0</v>
      </c>
      <c r="G96" s="1">
        <f>C96+D96+MIN(E96,4)+F96</f>
        <v>2</v>
      </c>
      <c r="H96" s="1">
        <f>D96+MIN(E96+F96,1)</f>
        <v>1</v>
      </c>
      <c r="I96" s="1">
        <f>IF(H96&gt;=4, 1, 0)</f>
        <v>0</v>
      </c>
      <c r="J96" s="1">
        <f>IF(G96&gt;=9, 1, 0)</f>
        <v>0</v>
      </c>
      <c r="K96" s="1">
        <f>IF(G96&gt;=11, 1, 0)</f>
        <v>0</v>
      </c>
      <c r="L96" s="1">
        <f>IF(K96+I96&gt;=2, 1, 0)</f>
        <v>0</v>
      </c>
      <c r="M96" s="1">
        <f>IF(J96+I96&gt;=2, 1, 0)</f>
        <v>0</v>
      </c>
      <c r="N96" s="1">
        <f>SUM(L96:M96)</f>
        <v>0</v>
      </c>
    </row>
    <row r="97" spans="1:14">
      <c r="A97" s="1" t="s">
        <v>307</v>
      </c>
      <c r="B97" s="1" t="s">
        <v>308</v>
      </c>
      <c r="C97" s="1">
        <v>0</v>
      </c>
      <c r="D97" s="1">
        <v>0</v>
      </c>
      <c r="E97" s="1">
        <v>2</v>
      </c>
      <c r="G97" s="1">
        <f>C97+D97+MIN(E97,4)+F97</f>
        <v>2</v>
      </c>
      <c r="H97" s="1">
        <f>D97+MIN(E97+F97,1)</f>
        <v>1</v>
      </c>
      <c r="I97" s="1">
        <f>IF(H97&gt;=4, 1, 0)</f>
        <v>0</v>
      </c>
      <c r="J97" s="1">
        <f>IF(G97&gt;=9, 1, 0)</f>
        <v>0</v>
      </c>
      <c r="K97" s="1">
        <f>IF(G97&gt;=11, 1, 0)</f>
        <v>0</v>
      </c>
      <c r="L97" s="1">
        <f>IF(K97+I97&gt;=2, 1, 0)</f>
        <v>0</v>
      </c>
      <c r="M97" s="1">
        <f>IF(J97+I97&gt;=2, 1, 0)</f>
        <v>0</v>
      </c>
      <c r="N97" s="1">
        <f>SUM(L97:M97)</f>
        <v>0</v>
      </c>
    </row>
    <row r="98" spans="1:14">
      <c r="A98" s="1" t="s">
        <v>311</v>
      </c>
      <c r="B98" s="1" t="s">
        <v>312</v>
      </c>
      <c r="C98" s="1">
        <v>0</v>
      </c>
      <c r="D98" s="1">
        <v>0</v>
      </c>
      <c r="E98" s="1">
        <v>1</v>
      </c>
      <c r="F98" s="1">
        <v>1</v>
      </c>
      <c r="G98" s="1">
        <f>C98+D98+MIN(E98,4)+F98</f>
        <v>2</v>
      </c>
      <c r="H98" s="1">
        <f>D98+MIN(E98+F98,1)</f>
        <v>1</v>
      </c>
      <c r="I98" s="1">
        <f>IF(H98&gt;=4, 1, 0)</f>
        <v>0</v>
      </c>
      <c r="J98" s="1">
        <f>IF(G98&gt;=9, 1, 0)</f>
        <v>0</v>
      </c>
      <c r="K98" s="1">
        <f>IF(G98&gt;=11, 1, 0)</f>
        <v>0</v>
      </c>
      <c r="L98" s="1">
        <f>IF(K98+I98&gt;=2, 1, 0)</f>
        <v>0</v>
      </c>
      <c r="M98" s="1">
        <f>IF(J98+I98&gt;=2, 1, 0)</f>
        <v>0</v>
      </c>
      <c r="N98" s="1">
        <f>SUM(L98:M98)</f>
        <v>0</v>
      </c>
    </row>
    <row r="99" spans="1:14">
      <c r="A99" s="1" t="s">
        <v>319</v>
      </c>
      <c r="B99" s="1" t="s">
        <v>320</v>
      </c>
      <c r="C99" s="1">
        <v>0</v>
      </c>
      <c r="D99" s="1">
        <v>0</v>
      </c>
      <c r="E99" s="1">
        <v>1</v>
      </c>
      <c r="F99" s="1">
        <v>1</v>
      </c>
      <c r="G99" s="1">
        <f>C99+D99+MIN(E99,4)+F99</f>
        <v>2</v>
      </c>
      <c r="H99" s="1">
        <f>D99+MIN(E99+F99,1)</f>
        <v>1</v>
      </c>
      <c r="I99" s="1">
        <f>IF(H99&gt;=4, 1, 0)</f>
        <v>0</v>
      </c>
      <c r="J99" s="1">
        <f>IF(G99&gt;=9, 1, 0)</f>
        <v>0</v>
      </c>
      <c r="K99" s="1">
        <f>IF(G99&gt;=11, 1, 0)</f>
        <v>0</v>
      </c>
      <c r="L99" s="1">
        <f>IF(K99+I99&gt;=2, 1, 0)</f>
        <v>0</v>
      </c>
      <c r="M99" s="1">
        <f>IF(J99+I99&gt;=2, 1, 0)</f>
        <v>0</v>
      </c>
      <c r="N99" s="1">
        <f>SUM(L99:M99)</f>
        <v>0</v>
      </c>
    </row>
    <row r="100" spans="1:14">
      <c r="A100" s="1" t="s">
        <v>327</v>
      </c>
      <c r="B100" s="1" t="s">
        <v>328</v>
      </c>
      <c r="C100" s="1">
        <v>0</v>
      </c>
      <c r="D100" s="1">
        <v>0</v>
      </c>
      <c r="E100" s="1">
        <v>1</v>
      </c>
      <c r="F100" s="1">
        <v>1</v>
      </c>
      <c r="G100" s="1">
        <f>C100+D100+MIN(E100,4)+F100</f>
        <v>2</v>
      </c>
      <c r="H100" s="1">
        <f>D100+MIN(E100+F100,1)</f>
        <v>1</v>
      </c>
      <c r="I100" s="1">
        <f>IF(H100&gt;=4, 1, 0)</f>
        <v>0</v>
      </c>
      <c r="J100" s="1">
        <f>IF(G100&gt;=9, 1, 0)</f>
        <v>0</v>
      </c>
      <c r="K100" s="1">
        <f>IF(G100&gt;=11, 1, 0)</f>
        <v>0</v>
      </c>
      <c r="L100" s="1">
        <f>IF(K100+I100&gt;=2, 1, 0)</f>
        <v>0</v>
      </c>
      <c r="M100" s="1">
        <f>IF(J100+I100&gt;=2, 1, 0)</f>
        <v>0</v>
      </c>
      <c r="N100" s="1">
        <f>SUM(L100:M100)</f>
        <v>0</v>
      </c>
    </row>
    <row r="101" spans="1:14">
      <c r="A101" s="1" t="s">
        <v>323</v>
      </c>
      <c r="B101" s="1" t="s">
        <v>324</v>
      </c>
      <c r="C101" s="1">
        <v>0</v>
      </c>
      <c r="D101" s="1">
        <v>0</v>
      </c>
      <c r="E101" s="1">
        <v>2</v>
      </c>
      <c r="G101" s="1">
        <f>C101+D101+MIN(E101,4)+F101</f>
        <v>2</v>
      </c>
      <c r="H101" s="1">
        <f>D101+MIN(E101+F101,1)</f>
        <v>1</v>
      </c>
      <c r="I101" s="1">
        <f>IF(H101&gt;=4, 1, 0)</f>
        <v>0</v>
      </c>
      <c r="J101" s="1">
        <f>IF(G101&gt;=9, 1, 0)</f>
        <v>0</v>
      </c>
      <c r="K101" s="1">
        <f>IF(G101&gt;=11, 1, 0)</f>
        <v>0</v>
      </c>
      <c r="L101" s="1">
        <f>IF(K101+I101&gt;=2, 1, 0)</f>
        <v>0</v>
      </c>
      <c r="M101" s="1">
        <f>IF(J101+I101&gt;=2, 1, 0)</f>
        <v>0</v>
      </c>
      <c r="N101" s="1">
        <f>SUM(L101:M101)</f>
        <v>0</v>
      </c>
    </row>
    <row r="102" spans="1:14">
      <c r="A102" s="1" t="s">
        <v>163</v>
      </c>
      <c r="B102" s="1" t="s">
        <v>164</v>
      </c>
      <c r="C102" s="1">
        <v>2</v>
      </c>
      <c r="D102" s="1">
        <v>0</v>
      </c>
      <c r="E102" s="1">
        <v>0</v>
      </c>
      <c r="G102" s="1">
        <f>C102+D102+MIN(E102,4)+F102</f>
        <v>2</v>
      </c>
      <c r="H102" s="1">
        <f>D102+MIN(E102+F102,1)</f>
        <v>0</v>
      </c>
      <c r="I102" s="1">
        <f>IF(H102&gt;=4, 1, 0)</f>
        <v>0</v>
      </c>
      <c r="J102" s="1">
        <f>IF(G102&gt;=9, 1, 0)</f>
        <v>0</v>
      </c>
      <c r="K102" s="1">
        <f>IF(G102&gt;=11, 1, 0)</f>
        <v>0</v>
      </c>
      <c r="L102" s="1">
        <f>IF(K102+I102&gt;=2, 1, 0)</f>
        <v>0</v>
      </c>
      <c r="M102" s="1">
        <f>IF(J102+I102&gt;=2, 1, 0)</f>
        <v>0</v>
      </c>
      <c r="N102" s="1">
        <f>SUM(L102:M102)</f>
        <v>0</v>
      </c>
    </row>
    <row r="103" spans="1:14">
      <c r="A103" s="1" t="s">
        <v>165</v>
      </c>
      <c r="B103" s="1" t="s">
        <v>166</v>
      </c>
      <c r="C103" s="1">
        <v>2</v>
      </c>
      <c r="D103" s="1">
        <v>0</v>
      </c>
      <c r="E103" s="1">
        <v>0</v>
      </c>
      <c r="G103" s="1">
        <f>C103+D103+MIN(E103,4)+F103</f>
        <v>2</v>
      </c>
      <c r="H103" s="1">
        <f>D103+MIN(E103+F103,1)</f>
        <v>0</v>
      </c>
      <c r="I103" s="1">
        <f>IF(H103&gt;=4, 1, 0)</f>
        <v>0</v>
      </c>
      <c r="J103" s="1">
        <f>IF(G103&gt;=9, 1, 0)</f>
        <v>0</v>
      </c>
      <c r="K103" s="1">
        <f>IF(G103&gt;=11, 1, 0)</f>
        <v>0</v>
      </c>
      <c r="L103" s="1">
        <f>IF(K103+I103&gt;=2, 1, 0)</f>
        <v>0</v>
      </c>
      <c r="M103" s="1">
        <f>IF(J103+I103&gt;=2, 1, 0)</f>
        <v>0</v>
      </c>
      <c r="N103" s="1">
        <f>SUM(L103:M103)</f>
        <v>0</v>
      </c>
    </row>
    <row r="104" spans="1:14">
      <c r="A104" s="1" t="s">
        <v>199</v>
      </c>
      <c r="B104" s="1" t="s">
        <v>200</v>
      </c>
      <c r="C104" s="1">
        <v>2</v>
      </c>
      <c r="D104" s="1">
        <v>0</v>
      </c>
      <c r="E104" s="1">
        <v>0</v>
      </c>
      <c r="G104" s="1">
        <f>C104+D104+MIN(E104,4)+F104</f>
        <v>2</v>
      </c>
      <c r="H104" s="1">
        <f>D104+MIN(E104+F104,1)</f>
        <v>0</v>
      </c>
      <c r="I104" s="1">
        <f>IF(H104&gt;=4, 1, 0)</f>
        <v>0</v>
      </c>
      <c r="J104" s="1">
        <f>IF(G104&gt;=9, 1, 0)</f>
        <v>0</v>
      </c>
      <c r="K104" s="1">
        <f>IF(G104&gt;=11, 1, 0)</f>
        <v>0</v>
      </c>
      <c r="L104" s="1">
        <f>IF(K104+I104&gt;=2, 1, 0)</f>
        <v>0</v>
      </c>
      <c r="M104" s="1">
        <f>IF(J104+I104&gt;=2, 1, 0)</f>
        <v>0</v>
      </c>
      <c r="N104" s="1">
        <f>SUM(L104:M104)</f>
        <v>0</v>
      </c>
    </row>
    <row r="105" spans="1:14">
      <c r="A105" s="1" t="s">
        <v>204</v>
      </c>
      <c r="B105" s="1" t="s">
        <v>205</v>
      </c>
      <c r="C105" s="1">
        <v>2</v>
      </c>
      <c r="D105" s="1">
        <v>0</v>
      </c>
      <c r="E105" s="1">
        <v>0</v>
      </c>
      <c r="G105" s="1">
        <f>C105+D105+MIN(E105,4)+F105</f>
        <v>2</v>
      </c>
      <c r="H105" s="1">
        <f>D105+MIN(E105+F105,1)</f>
        <v>0</v>
      </c>
      <c r="I105" s="1">
        <f>IF(H105&gt;=4, 1, 0)</f>
        <v>0</v>
      </c>
      <c r="J105" s="1">
        <f>IF(G105&gt;=9, 1, 0)</f>
        <v>0</v>
      </c>
      <c r="K105" s="1">
        <f>IF(G105&gt;=11, 1, 0)</f>
        <v>0</v>
      </c>
      <c r="L105" s="1">
        <f>IF(K105+I105&gt;=2, 1, 0)</f>
        <v>0</v>
      </c>
      <c r="M105" s="1">
        <f>IF(J105+I105&gt;=2, 1, 0)</f>
        <v>0</v>
      </c>
      <c r="N105" s="1">
        <f>SUM(L105:M105)</f>
        <v>0</v>
      </c>
    </row>
    <row r="106" spans="1:14">
      <c r="A106" s="1" t="s">
        <v>208</v>
      </c>
      <c r="B106" s="1" t="s">
        <v>209</v>
      </c>
      <c r="C106" s="1">
        <v>2</v>
      </c>
      <c r="D106" s="1">
        <v>0</v>
      </c>
      <c r="E106" s="1">
        <v>0</v>
      </c>
      <c r="G106" s="1">
        <f>C106+D106+MIN(E106,4)+F106</f>
        <v>2</v>
      </c>
      <c r="H106" s="1">
        <f>D106+MIN(E106+F106,1)</f>
        <v>0</v>
      </c>
      <c r="I106" s="1">
        <f>IF(H106&gt;=4, 1, 0)</f>
        <v>0</v>
      </c>
      <c r="J106" s="1">
        <f>IF(G106&gt;=9, 1, 0)</f>
        <v>0</v>
      </c>
      <c r="K106" s="1">
        <f>IF(G106&gt;=11, 1, 0)</f>
        <v>0</v>
      </c>
      <c r="L106" s="1">
        <f>IF(K106+I106&gt;=2, 1, 0)</f>
        <v>0</v>
      </c>
      <c r="M106" s="1">
        <f>IF(J106+I106&gt;=2, 1, 0)</f>
        <v>0</v>
      </c>
      <c r="N106" s="1">
        <f>SUM(L106:M106)</f>
        <v>0</v>
      </c>
    </row>
    <row r="107" spans="1:14">
      <c r="A107" s="1" t="s">
        <v>220</v>
      </c>
      <c r="B107" s="1" t="s">
        <v>221</v>
      </c>
      <c r="C107" s="1">
        <v>2</v>
      </c>
      <c r="D107" s="1">
        <v>0</v>
      </c>
      <c r="E107" s="1">
        <v>0</v>
      </c>
      <c r="G107" s="1">
        <f>C107+D107+MIN(E107,4)+F107</f>
        <v>2</v>
      </c>
      <c r="H107" s="1">
        <f>D107+MIN(E107+F107,1)</f>
        <v>0</v>
      </c>
      <c r="I107" s="1">
        <f>IF(H107&gt;=4, 1, 0)</f>
        <v>0</v>
      </c>
      <c r="J107" s="1">
        <f>IF(G107&gt;=9, 1, 0)</f>
        <v>0</v>
      </c>
      <c r="K107" s="1">
        <f>IF(G107&gt;=11, 1, 0)</f>
        <v>0</v>
      </c>
      <c r="L107" s="1">
        <f>IF(K107+I107&gt;=2, 1, 0)</f>
        <v>0</v>
      </c>
      <c r="M107" s="1">
        <f>IF(J107+I107&gt;=2, 1, 0)</f>
        <v>0</v>
      </c>
      <c r="N107" s="1">
        <f>SUM(L107:M107)</f>
        <v>0</v>
      </c>
    </row>
    <row r="108" spans="1:14">
      <c r="A108" s="1" t="s">
        <v>300</v>
      </c>
      <c r="B108" s="1" t="s">
        <v>301</v>
      </c>
      <c r="C108" s="1">
        <v>1.5</v>
      </c>
      <c r="E108" s="1">
        <v>0</v>
      </c>
      <c r="G108" s="1">
        <f>C108+D108+MIN(E108,4)+F108</f>
        <v>1.5</v>
      </c>
      <c r="H108" s="1">
        <f>D108+MIN(E108+F108,1)</f>
        <v>0</v>
      </c>
      <c r="I108" s="1">
        <f>IF(H108&gt;=4, 1, 0)</f>
        <v>0</v>
      </c>
      <c r="J108" s="1">
        <f>IF(G108&gt;=9, 1, 0)</f>
        <v>0</v>
      </c>
      <c r="K108" s="1">
        <f>IF(G108&gt;=11, 1, 0)</f>
        <v>0</v>
      </c>
      <c r="L108" s="1">
        <f>IF(K108+I108&gt;=2, 1, 0)</f>
        <v>0</v>
      </c>
      <c r="M108" s="1">
        <f>IF(J108+I108&gt;=2, 1, 0)</f>
        <v>0</v>
      </c>
      <c r="N108" s="1">
        <f>SUM(L108:M108)</f>
        <v>0</v>
      </c>
    </row>
    <row r="109" spans="1:14">
      <c r="A109" s="1" t="s">
        <v>181</v>
      </c>
      <c r="B109" s="1" t="s">
        <v>182</v>
      </c>
      <c r="C109" s="1">
        <v>0</v>
      </c>
      <c r="D109" s="1">
        <v>0</v>
      </c>
      <c r="E109" s="1">
        <v>0</v>
      </c>
      <c r="F109" s="1">
        <v>1</v>
      </c>
      <c r="G109" s="1">
        <f>C109+D109+MIN(E109,4)+F109</f>
        <v>1</v>
      </c>
      <c r="H109" s="1">
        <f>D109+MIN(E109+F109,1)</f>
        <v>1</v>
      </c>
      <c r="I109" s="1">
        <f>IF(H109&gt;=4, 1, 0)</f>
        <v>0</v>
      </c>
      <c r="J109" s="1">
        <f>IF(G109&gt;=9, 1, 0)</f>
        <v>0</v>
      </c>
      <c r="K109" s="1">
        <f>IF(G109&gt;=11, 1, 0)</f>
        <v>0</v>
      </c>
      <c r="L109" s="1">
        <f>IF(K109+I109&gt;=2, 1, 0)</f>
        <v>0</v>
      </c>
      <c r="M109" s="1">
        <f>IF(J109+I109&gt;=2, 1, 0)</f>
        <v>0</v>
      </c>
      <c r="N109" s="1">
        <f>SUM(L109:M109)</f>
        <v>0</v>
      </c>
    </row>
    <row r="110" spans="1:14">
      <c r="A110" s="1" t="s">
        <v>212</v>
      </c>
      <c r="B110" s="1" t="s">
        <v>213</v>
      </c>
      <c r="C110" s="1">
        <v>0</v>
      </c>
      <c r="D110" s="1">
        <v>1</v>
      </c>
      <c r="E110" s="1">
        <v>0</v>
      </c>
      <c r="G110" s="1">
        <f>C110+D110+MIN(E110,4)+F110</f>
        <v>1</v>
      </c>
      <c r="H110" s="1">
        <f>D110+MIN(E110+F110,1)</f>
        <v>1</v>
      </c>
      <c r="I110" s="1">
        <f>IF(H110&gt;=4, 1, 0)</f>
        <v>0</v>
      </c>
      <c r="J110" s="1">
        <f>IF(G110&gt;=9, 1, 0)</f>
        <v>0</v>
      </c>
      <c r="K110" s="1">
        <f>IF(G110&gt;=11, 1, 0)</f>
        <v>0</v>
      </c>
      <c r="L110" s="1">
        <f>IF(K110+I110&gt;=2, 1, 0)</f>
        <v>0</v>
      </c>
      <c r="M110" s="1">
        <f>IF(J110+I110&gt;=2, 1, 0)</f>
        <v>0</v>
      </c>
      <c r="N110" s="1">
        <f>SUM(L110:M110)</f>
        <v>0</v>
      </c>
    </row>
    <row r="111" spans="1:14">
      <c r="A111" s="1" t="s">
        <v>216</v>
      </c>
      <c r="B111" s="1" t="s">
        <v>217</v>
      </c>
      <c r="C111" s="1">
        <v>0</v>
      </c>
      <c r="D111" s="1">
        <v>1</v>
      </c>
      <c r="E111" s="1">
        <v>0</v>
      </c>
      <c r="G111" s="1">
        <f>C111+D111+MIN(E111,4)+F111</f>
        <v>1</v>
      </c>
      <c r="H111" s="1">
        <f>D111+MIN(E111+F111,1)</f>
        <v>1</v>
      </c>
      <c r="I111" s="1">
        <f>IF(H111&gt;=4, 1, 0)</f>
        <v>0</v>
      </c>
      <c r="J111" s="1">
        <f>IF(G111&gt;=9, 1, 0)</f>
        <v>0</v>
      </c>
      <c r="K111" s="1">
        <f>IF(G111&gt;=11, 1, 0)</f>
        <v>0</v>
      </c>
      <c r="L111" s="1">
        <f>IF(K111+I111&gt;=2, 1, 0)</f>
        <v>0</v>
      </c>
      <c r="M111" s="1">
        <f>IF(J111+I111&gt;=2, 1, 0)</f>
        <v>0</v>
      </c>
      <c r="N111" s="1">
        <f>SUM(L111:M111)</f>
        <v>0</v>
      </c>
    </row>
    <row r="112" spans="1:14">
      <c r="A112" s="1" t="s">
        <v>243</v>
      </c>
      <c r="B112" s="1" t="s">
        <v>244</v>
      </c>
      <c r="C112" s="1">
        <v>0</v>
      </c>
      <c r="D112" s="1">
        <v>0</v>
      </c>
      <c r="E112" s="1">
        <v>1</v>
      </c>
      <c r="G112" s="1">
        <f>C112+D112+MIN(E112,4)+F112</f>
        <v>1</v>
      </c>
      <c r="H112" s="1">
        <f>D112+MIN(E112+F112,1)</f>
        <v>1</v>
      </c>
      <c r="I112" s="1">
        <f>IF(H112&gt;=4, 1, 0)</f>
        <v>0</v>
      </c>
      <c r="J112" s="1">
        <f>IF(G112&gt;=9, 1, 0)</f>
        <v>0</v>
      </c>
      <c r="K112" s="1">
        <f>IF(G112&gt;=11, 1, 0)</f>
        <v>0</v>
      </c>
      <c r="L112" s="1">
        <f>IF(K112+I112&gt;=2, 1, 0)</f>
        <v>0</v>
      </c>
      <c r="M112" s="1">
        <f>IF(J112+I112&gt;=2, 1, 0)</f>
        <v>0</v>
      </c>
      <c r="N112" s="1">
        <f>SUM(L112:M112)</f>
        <v>0</v>
      </c>
    </row>
    <row r="113" spans="1:14">
      <c r="A113" s="1" t="s">
        <v>282</v>
      </c>
      <c r="B113" s="1" t="s">
        <v>283</v>
      </c>
      <c r="C113" s="1">
        <v>0</v>
      </c>
      <c r="D113" s="1">
        <v>1</v>
      </c>
      <c r="E113" s="1">
        <v>0</v>
      </c>
      <c r="G113" s="1">
        <f>C113+D113+MIN(E113,4)+F113</f>
        <v>1</v>
      </c>
      <c r="H113" s="1">
        <f>D113+MIN(E113+F113,1)</f>
        <v>1</v>
      </c>
      <c r="I113" s="1">
        <f>IF(H113&gt;=4, 1, 0)</f>
        <v>0</v>
      </c>
      <c r="J113" s="1">
        <f>IF(G113&gt;=9, 1, 0)</f>
        <v>0</v>
      </c>
      <c r="K113" s="1">
        <f>IF(G113&gt;=11, 1, 0)</f>
        <v>0</v>
      </c>
      <c r="L113" s="1">
        <f>IF(K113+I113&gt;=2, 1, 0)</f>
        <v>0</v>
      </c>
      <c r="M113" s="1">
        <f>IF(J113+I113&gt;=2, 1, 0)</f>
        <v>0</v>
      </c>
      <c r="N113" s="1">
        <f>SUM(L113:M113)</f>
        <v>0</v>
      </c>
    </row>
    <row r="114" spans="1:14">
      <c r="A114" s="1" t="s">
        <v>284</v>
      </c>
      <c r="B114" s="1" t="s">
        <v>285</v>
      </c>
      <c r="C114" s="1">
        <v>0</v>
      </c>
      <c r="D114" s="1">
        <v>1</v>
      </c>
      <c r="E114" s="1">
        <v>0</v>
      </c>
      <c r="G114" s="1">
        <f>C114+D114+MIN(E114,4)+F114</f>
        <v>1</v>
      </c>
      <c r="H114" s="1">
        <f>D114+MIN(E114+F114,1)</f>
        <v>1</v>
      </c>
      <c r="I114" s="1">
        <f>IF(H114&gt;=4, 1, 0)</f>
        <v>0</v>
      </c>
      <c r="J114" s="1">
        <f>IF(G114&gt;=9, 1, 0)</f>
        <v>0</v>
      </c>
      <c r="K114" s="1">
        <f>IF(G114&gt;=11, 1, 0)</f>
        <v>0</v>
      </c>
      <c r="L114" s="1">
        <f>IF(K114+I114&gt;=2, 1, 0)</f>
        <v>0</v>
      </c>
      <c r="M114" s="1">
        <f>IF(J114+I114&gt;=2, 1, 0)</f>
        <v>0</v>
      </c>
      <c r="N114" s="1">
        <f>SUM(L114:M114)</f>
        <v>0</v>
      </c>
    </row>
    <row r="115" spans="1:14">
      <c r="A115" s="1" t="s">
        <v>286</v>
      </c>
      <c r="B115" s="1" t="s">
        <v>287</v>
      </c>
      <c r="C115" s="1">
        <v>0</v>
      </c>
      <c r="D115" s="1">
        <v>1</v>
      </c>
      <c r="E115" s="1">
        <v>0</v>
      </c>
      <c r="G115" s="1">
        <f>C115+D115+MIN(E115,4)+F115</f>
        <v>1</v>
      </c>
      <c r="H115" s="1">
        <f>D115+MIN(E115+F115,1)</f>
        <v>1</v>
      </c>
      <c r="I115" s="1">
        <f>IF(H115&gt;=4, 1, 0)</f>
        <v>0</v>
      </c>
      <c r="J115" s="1">
        <f>IF(G115&gt;=9, 1, 0)</f>
        <v>0</v>
      </c>
      <c r="K115" s="1">
        <f>IF(G115&gt;=11, 1, 0)</f>
        <v>0</v>
      </c>
      <c r="L115" s="1">
        <f>IF(K115+I115&gt;=2, 1, 0)</f>
        <v>0</v>
      </c>
      <c r="M115" s="1">
        <f>IF(J115+I115&gt;=2, 1, 0)</f>
        <v>0</v>
      </c>
      <c r="N115" s="1">
        <f>SUM(L115:M115)</f>
        <v>0</v>
      </c>
    </row>
    <row r="116" spans="1:14">
      <c r="A116" s="1" t="s">
        <v>288</v>
      </c>
      <c r="B116" s="1" t="s">
        <v>289</v>
      </c>
      <c r="C116" s="1">
        <v>0</v>
      </c>
      <c r="D116" s="1">
        <v>1</v>
      </c>
      <c r="E116" s="1">
        <v>0</v>
      </c>
      <c r="G116" s="1">
        <f>C116+D116+MIN(E116,4)+F116</f>
        <v>1</v>
      </c>
      <c r="H116" s="1">
        <f>D116+MIN(E116+F116,1)</f>
        <v>1</v>
      </c>
      <c r="I116" s="1">
        <f>IF(H116&gt;=4, 1, 0)</f>
        <v>0</v>
      </c>
      <c r="J116" s="1">
        <f>IF(G116&gt;=9, 1, 0)</f>
        <v>0</v>
      </c>
      <c r="K116" s="1">
        <f>IF(G116&gt;=11, 1, 0)</f>
        <v>0</v>
      </c>
      <c r="L116" s="1">
        <f>IF(K116+I116&gt;=2, 1, 0)</f>
        <v>0</v>
      </c>
      <c r="M116" s="1">
        <f>IF(J116+I116&gt;=2, 1, 0)</f>
        <v>0</v>
      </c>
      <c r="N116" s="1">
        <f>SUM(L116:M116)</f>
        <v>0</v>
      </c>
    </row>
    <row r="117" spans="1:14">
      <c r="A117" s="1" t="s">
        <v>292</v>
      </c>
      <c r="B117" s="1" t="s">
        <v>293</v>
      </c>
      <c r="C117" s="1">
        <v>0</v>
      </c>
      <c r="D117" s="1">
        <v>1</v>
      </c>
      <c r="E117" s="1">
        <v>0</v>
      </c>
      <c r="G117" s="1">
        <f>C117+D117+MIN(E117,4)+F117</f>
        <v>1</v>
      </c>
      <c r="H117" s="1">
        <f>D117+MIN(E117+F117,1)</f>
        <v>1</v>
      </c>
      <c r="I117" s="1">
        <f>IF(H117&gt;=4, 1, 0)</f>
        <v>0</v>
      </c>
      <c r="J117" s="1">
        <f>IF(G117&gt;=9, 1, 0)</f>
        <v>0</v>
      </c>
      <c r="K117" s="1">
        <f>IF(G117&gt;=11, 1, 0)</f>
        <v>0</v>
      </c>
      <c r="L117" s="1">
        <f>IF(K117+I117&gt;=2, 1, 0)</f>
        <v>0</v>
      </c>
      <c r="M117" s="1">
        <f>IF(J117+I117&gt;=2, 1, 0)</f>
        <v>0</v>
      </c>
      <c r="N117" s="1">
        <f>SUM(L117:M117)</f>
        <v>0</v>
      </c>
    </row>
    <row r="118" spans="1:14">
      <c r="A118" s="1" t="s">
        <v>294</v>
      </c>
      <c r="B118" s="1" t="s">
        <v>295</v>
      </c>
      <c r="C118" s="1">
        <v>0</v>
      </c>
      <c r="D118" s="1">
        <v>1</v>
      </c>
      <c r="E118" s="1">
        <v>0</v>
      </c>
      <c r="G118" s="1">
        <f>C118+D118+MIN(E118,4)+F118</f>
        <v>1</v>
      </c>
      <c r="H118" s="1">
        <f>D118+MIN(E118+F118,1)</f>
        <v>1</v>
      </c>
      <c r="I118" s="1">
        <f>IF(H118&gt;=4, 1, 0)</f>
        <v>0</v>
      </c>
      <c r="J118" s="1">
        <f>IF(G118&gt;=9, 1, 0)</f>
        <v>0</v>
      </c>
      <c r="K118" s="1">
        <f>IF(G118&gt;=11, 1, 0)</f>
        <v>0</v>
      </c>
      <c r="L118" s="1">
        <f>IF(K118+I118&gt;=2, 1, 0)</f>
        <v>0</v>
      </c>
      <c r="M118" s="1">
        <f>IF(J118+I118&gt;=2, 1, 0)</f>
        <v>0</v>
      </c>
      <c r="N118" s="1">
        <f>SUM(L118:M118)</f>
        <v>0</v>
      </c>
    </row>
    <row r="119" spans="1:14">
      <c r="A119" s="1" t="s">
        <v>296</v>
      </c>
      <c r="B119" s="1" t="s">
        <v>297</v>
      </c>
      <c r="C119" s="1">
        <v>0</v>
      </c>
      <c r="D119" s="1">
        <v>1</v>
      </c>
      <c r="E119" s="1">
        <v>0</v>
      </c>
      <c r="G119" s="1">
        <f>C119+D119+MIN(E119,4)+F119</f>
        <v>1</v>
      </c>
      <c r="H119" s="1">
        <f>D119+MIN(E119+F119,1)</f>
        <v>1</v>
      </c>
      <c r="I119" s="1">
        <f>IF(H119&gt;=4, 1, 0)</f>
        <v>0</v>
      </c>
      <c r="J119" s="1">
        <f>IF(G119&gt;=9, 1, 0)</f>
        <v>0</v>
      </c>
      <c r="K119" s="1">
        <f>IF(G119&gt;=11, 1, 0)</f>
        <v>0</v>
      </c>
      <c r="L119" s="1">
        <f>IF(K119+I119&gt;=2, 1, 0)</f>
        <v>0</v>
      </c>
      <c r="M119" s="1">
        <f>IF(J119+I119&gt;=2, 1, 0)</f>
        <v>0</v>
      </c>
      <c r="N119" s="1">
        <f>SUM(L119:M119)</f>
        <v>0</v>
      </c>
    </row>
    <row r="120" spans="1:14">
      <c r="A120" s="1" t="s">
        <v>305</v>
      </c>
      <c r="B120" s="1" t="s">
        <v>306</v>
      </c>
      <c r="C120" s="1">
        <v>0</v>
      </c>
      <c r="D120" s="1">
        <v>1</v>
      </c>
      <c r="E120" s="1">
        <v>0</v>
      </c>
      <c r="G120" s="1">
        <f>C120+D120+MIN(E120,4)+F120</f>
        <v>1</v>
      </c>
      <c r="H120" s="1">
        <f>D120+MIN(E120+F120,1)</f>
        <v>1</v>
      </c>
      <c r="I120" s="1">
        <f>IF(H120&gt;=4, 1, 0)</f>
        <v>0</v>
      </c>
      <c r="J120" s="1">
        <f>IF(G120&gt;=9, 1, 0)</f>
        <v>0</v>
      </c>
      <c r="K120" s="1">
        <f>IF(G120&gt;=11, 1, 0)</f>
        <v>0</v>
      </c>
      <c r="L120" s="1">
        <f>IF(K120+I120&gt;=2, 1, 0)</f>
        <v>0</v>
      </c>
      <c r="M120" s="1">
        <f>IF(J120+I120&gt;=2, 1, 0)</f>
        <v>0</v>
      </c>
      <c r="N120" s="1">
        <f>SUM(L120:M120)</f>
        <v>0</v>
      </c>
    </row>
    <row r="121" spans="1:14">
      <c r="A121" s="1" t="s">
        <v>309</v>
      </c>
      <c r="B121" s="1" t="s">
        <v>310</v>
      </c>
      <c r="C121" s="1">
        <v>0</v>
      </c>
      <c r="D121" s="1">
        <v>0</v>
      </c>
      <c r="E121" s="1">
        <v>1</v>
      </c>
      <c r="G121" s="1">
        <f>C121+D121+MIN(E121,4)+F121</f>
        <v>1</v>
      </c>
      <c r="H121" s="1">
        <f>D121+MIN(E121+F121,1)</f>
        <v>1</v>
      </c>
      <c r="I121" s="1">
        <f>IF(H121&gt;=4, 1, 0)</f>
        <v>0</v>
      </c>
      <c r="J121" s="1">
        <f>IF(G121&gt;=9, 1, 0)</f>
        <v>0</v>
      </c>
      <c r="K121" s="1">
        <f>IF(G121&gt;=11, 1, 0)</f>
        <v>0</v>
      </c>
      <c r="L121" s="1">
        <f>IF(K121+I121&gt;=2, 1, 0)</f>
        <v>0</v>
      </c>
      <c r="M121" s="1">
        <f>IF(J121+I121&gt;=2, 1, 0)</f>
        <v>0</v>
      </c>
      <c r="N121" s="1">
        <f>SUM(L121:M121)</f>
        <v>0</v>
      </c>
    </row>
    <row r="122" spans="1:14">
      <c r="A122" s="1" t="s">
        <v>313</v>
      </c>
      <c r="B122" s="1" t="s">
        <v>314</v>
      </c>
      <c r="C122" s="1">
        <v>0</v>
      </c>
      <c r="D122" s="1">
        <v>0</v>
      </c>
      <c r="E122" s="1">
        <v>1</v>
      </c>
      <c r="G122" s="1">
        <f>C122+D122+MIN(E122,4)+F122</f>
        <v>1</v>
      </c>
      <c r="H122" s="1">
        <f>D122+MIN(E122+F122,1)</f>
        <v>1</v>
      </c>
      <c r="I122" s="1">
        <f>IF(H122&gt;=4, 1, 0)</f>
        <v>0</v>
      </c>
      <c r="J122" s="1">
        <f>IF(G122&gt;=9, 1, 0)</f>
        <v>0</v>
      </c>
      <c r="K122" s="1">
        <f>IF(G122&gt;=11, 1, 0)</f>
        <v>0</v>
      </c>
      <c r="L122" s="1">
        <f>IF(K122+I122&gt;=2, 1, 0)</f>
        <v>0</v>
      </c>
      <c r="M122" s="1">
        <f>IF(J122+I122&gt;=2, 1, 0)</f>
        <v>0</v>
      </c>
      <c r="N122" s="1">
        <f>SUM(L122:M122)</f>
        <v>0</v>
      </c>
    </row>
    <row r="123" spans="1:14">
      <c r="A123" s="1" t="s">
        <v>315</v>
      </c>
      <c r="B123" s="1" t="s">
        <v>316</v>
      </c>
      <c r="C123" s="1">
        <v>0</v>
      </c>
      <c r="D123" s="1">
        <v>0</v>
      </c>
      <c r="E123" s="1">
        <v>1</v>
      </c>
      <c r="G123" s="1">
        <f>C123+D123+MIN(E123,4)+F123</f>
        <v>1</v>
      </c>
      <c r="H123" s="1">
        <f>D123+MIN(E123+F123,1)</f>
        <v>1</v>
      </c>
      <c r="I123" s="1">
        <f>IF(H123&gt;=4, 1, 0)</f>
        <v>0</v>
      </c>
      <c r="J123" s="1">
        <f>IF(G123&gt;=9, 1, 0)</f>
        <v>0</v>
      </c>
      <c r="K123" s="1">
        <f>IF(G123&gt;=11, 1, 0)</f>
        <v>0</v>
      </c>
      <c r="L123" s="1">
        <f>IF(K123+I123&gt;=2, 1, 0)</f>
        <v>0</v>
      </c>
      <c r="M123" s="1">
        <f>IF(J123+I123&gt;=2, 1, 0)</f>
        <v>0</v>
      </c>
      <c r="N123" s="1">
        <f>SUM(L123:M123)</f>
        <v>0</v>
      </c>
    </row>
    <row r="124" spans="1:14">
      <c r="A124" s="1" t="s">
        <v>317</v>
      </c>
      <c r="B124" s="1" t="s">
        <v>318</v>
      </c>
      <c r="C124" s="1">
        <v>0</v>
      </c>
      <c r="D124" s="1">
        <v>0</v>
      </c>
      <c r="E124" s="1">
        <v>1</v>
      </c>
      <c r="G124" s="1">
        <f>C124+D124+MIN(E124,4)+F124</f>
        <v>1</v>
      </c>
      <c r="H124" s="1">
        <f>D124+MIN(E124+F124,1)</f>
        <v>1</v>
      </c>
      <c r="I124" s="1">
        <f>IF(H124&gt;=4, 1, 0)</f>
        <v>0</v>
      </c>
      <c r="J124" s="1">
        <f>IF(G124&gt;=9, 1, 0)</f>
        <v>0</v>
      </c>
      <c r="K124" s="1">
        <f>IF(G124&gt;=11, 1, 0)</f>
        <v>0</v>
      </c>
      <c r="L124" s="1">
        <f>IF(K124+I124&gt;=2, 1, 0)</f>
        <v>0</v>
      </c>
      <c r="M124" s="1">
        <f>IF(J124+I124&gt;=2, 1, 0)</f>
        <v>0</v>
      </c>
      <c r="N124" s="1">
        <f>SUM(L124:M124)</f>
        <v>0</v>
      </c>
    </row>
    <row r="125" spans="1:14">
      <c r="A125" s="1" t="s">
        <v>321</v>
      </c>
      <c r="B125" s="1" t="s">
        <v>322</v>
      </c>
      <c r="C125" s="1">
        <v>0</v>
      </c>
      <c r="D125" s="1">
        <v>0</v>
      </c>
      <c r="E125" s="1">
        <v>1</v>
      </c>
      <c r="G125" s="1">
        <f>C125+D125+MIN(E125,4)+F125</f>
        <v>1</v>
      </c>
      <c r="H125" s="1">
        <f>D125+MIN(E125+F125,1)</f>
        <v>1</v>
      </c>
      <c r="I125" s="1">
        <f>IF(H125&gt;=4, 1, 0)</f>
        <v>0</v>
      </c>
      <c r="J125" s="1">
        <f>IF(G125&gt;=9, 1, 0)</f>
        <v>0</v>
      </c>
      <c r="K125" s="1">
        <f>IF(G125&gt;=11, 1, 0)</f>
        <v>0</v>
      </c>
      <c r="L125" s="1">
        <f>IF(K125+I125&gt;=2, 1, 0)</f>
        <v>0</v>
      </c>
      <c r="M125" s="1">
        <f>IF(J125+I125&gt;=2, 1, 0)</f>
        <v>0</v>
      </c>
      <c r="N125" s="1">
        <f>SUM(L125:M125)</f>
        <v>0</v>
      </c>
    </row>
    <row r="126" spans="1:14">
      <c r="A126" s="1" t="s">
        <v>325</v>
      </c>
      <c r="B126" s="1" t="s">
        <v>326</v>
      </c>
      <c r="C126" s="1">
        <v>0</v>
      </c>
      <c r="D126" s="1">
        <v>0</v>
      </c>
      <c r="E126" s="1">
        <v>1</v>
      </c>
      <c r="G126" s="1">
        <f>C126+D126+MIN(E126,4)+F126</f>
        <v>1</v>
      </c>
      <c r="H126" s="1">
        <f>D126+MIN(E126+F126,1)</f>
        <v>1</v>
      </c>
      <c r="I126" s="1">
        <f>IF(H126&gt;=4, 1, 0)</f>
        <v>0</v>
      </c>
      <c r="J126" s="1">
        <f>IF(G126&gt;=9, 1, 0)</f>
        <v>0</v>
      </c>
      <c r="K126" s="1">
        <f>IF(G126&gt;=11, 1, 0)</f>
        <v>0</v>
      </c>
      <c r="L126" s="1">
        <f>IF(K126+I126&gt;=2, 1, 0)</f>
        <v>0</v>
      </c>
      <c r="M126" s="1">
        <f>IF(J126+I126&gt;=2, 1, 0)</f>
        <v>0</v>
      </c>
      <c r="N126" s="1">
        <f>SUM(L126:M126)</f>
        <v>0</v>
      </c>
    </row>
    <row r="127" spans="1:14">
      <c r="A127" s="1" t="s">
        <v>329</v>
      </c>
      <c r="B127" s="1" t="s">
        <v>330</v>
      </c>
      <c r="C127" s="1">
        <v>0</v>
      </c>
      <c r="D127" s="1">
        <v>0</v>
      </c>
      <c r="E127" s="1">
        <v>1</v>
      </c>
      <c r="G127" s="1">
        <f>C127+D127+MIN(E127,4)+F127</f>
        <v>1</v>
      </c>
      <c r="H127" s="1">
        <f>D127+MIN(E127+F127,1)</f>
        <v>1</v>
      </c>
      <c r="I127" s="1">
        <f>IF(H127&gt;=4, 1, 0)</f>
        <v>0</v>
      </c>
      <c r="J127" s="1">
        <f>IF(G127&gt;=9, 1, 0)</f>
        <v>0</v>
      </c>
      <c r="K127" s="1">
        <f>IF(G127&gt;=11, 1, 0)</f>
        <v>0</v>
      </c>
      <c r="L127" s="1">
        <f>IF(K127+I127&gt;=2, 1, 0)</f>
        <v>0</v>
      </c>
      <c r="M127" s="1">
        <f>IF(J127+I127&gt;=2, 1, 0)</f>
        <v>0</v>
      </c>
      <c r="N127" s="1">
        <f>SUM(L127:M127)</f>
        <v>0</v>
      </c>
    </row>
    <row r="128" spans="1:14">
      <c r="A128" s="1" t="s">
        <v>344</v>
      </c>
      <c r="B128" s="1" t="s">
        <v>345</v>
      </c>
      <c r="C128" s="1">
        <v>0</v>
      </c>
      <c r="D128" s="1">
        <v>0</v>
      </c>
      <c r="E128" s="1">
        <v>0</v>
      </c>
      <c r="F128" s="1">
        <v>1</v>
      </c>
      <c r="G128" s="1">
        <f>C128+D128+MIN(E128,4)+F128</f>
        <v>1</v>
      </c>
      <c r="H128" s="1">
        <f>D128+MIN(E128+F128,1)</f>
        <v>1</v>
      </c>
      <c r="I128" s="1">
        <f>IF(H128&gt;=4, 1, 0)</f>
        <v>0</v>
      </c>
      <c r="J128" s="1">
        <f>IF(G128&gt;=9, 1, 0)</f>
        <v>0</v>
      </c>
      <c r="K128" s="1">
        <f>IF(G128&gt;=11, 1, 0)</f>
        <v>0</v>
      </c>
      <c r="L128" s="1">
        <f>IF(K128+I128&gt;=2, 1, 0)</f>
        <v>0</v>
      </c>
      <c r="M128" s="1">
        <f>IF(J128+I128&gt;=2, 1, 0)</f>
        <v>0</v>
      </c>
      <c r="N128" s="1">
        <f>SUM(L128:M128)</f>
        <v>0</v>
      </c>
    </row>
    <row r="129" spans="1:14">
      <c r="A129" s="1" t="s">
        <v>346</v>
      </c>
      <c r="B129" s="1" t="s">
        <v>347</v>
      </c>
      <c r="C129" s="1">
        <v>0</v>
      </c>
      <c r="D129" s="1">
        <v>0</v>
      </c>
      <c r="E129" s="1">
        <v>0</v>
      </c>
      <c r="F129" s="1">
        <v>1</v>
      </c>
      <c r="G129" s="1">
        <f>C129+D129+MIN(E129,4)+F129</f>
        <v>1</v>
      </c>
      <c r="H129" s="1">
        <f>D129+MIN(E129+F129,1)</f>
        <v>1</v>
      </c>
      <c r="I129" s="1">
        <f>IF(H129&gt;=4, 1, 0)</f>
        <v>0</v>
      </c>
      <c r="J129" s="1">
        <f>IF(G129&gt;=9, 1, 0)</f>
        <v>0</v>
      </c>
      <c r="K129" s="1">
        <f>IF(G129&gt;=11, 1, 0)</f>
        <v>0</v>
      </c>
      <c r="L129" s="1">
        <f>IF(K129+I129&gt;=2, 1, 0)</f>
        <v>0</v>
      </c>
      <c r="M129" s="1">
        <f>IF(J129+I129&gt;=2, 1, 0)</f>
        <v>0</v>
      </c>
      <c r="N129" s="1">
        <f>SUM(L129:M129)</f>
        <v>0</v>
      </c>
    </row>
    <row r="130" spans="1:14">
      <c r="A130" s="1" t="s">
        <v>352</v>
      </c>
      <c r="B130" s="1" t="s">
        <v>353</v>
      </c>
      <c r="C130" s="1">
        <v>0</v>
      </c>
      <c r="D130" s="1">
        <v>0</v>
      </c>
      <c r="E130" s="1">
        <v>1</v>
      </c>
      <c r="G130" s="1">
        <f>C130+D130+MIN(E130,4)+F130</f>
        <v>1</v>
      </c>
      <c r="H130" s="1">
        <f>D130+MIN(E130+F130,1)</f>
        <v>1</v>
      </c>
      <c r="I130" s="1">
        <f>IF(H130&gt;=4, 1, 0)</f>
        <v>0</v>
      </c>
      <c r="J130" s="1">
        <f>IF(G130&gt;=9, 1, 0)</f>
        <v>0</v>
      </c>
      <c r="K130" s="1">
        <f>IF(G130&gt;=11, 1, 0)</f>
        <v>0</v>
      </c>
      <c r="L130" s="1">
        <f>IF(K130+I130&gt;=2, 1, 0)</f>
        <v>0</v>
      </c>
      <c r="M130" s="1">
        <f>IF(J130+I130&gt;=2, 1, 0)</f>
        <v>0</v>
      </c>
      <c r="N130" s="1">
        <f>SUM(L130:M130)</f>
        <v>0</v>
      </c>
    </row>
    <row r="131" spans="1:14">
      <c r="A131" s="1" t="s">
        <v>151</v>
      </c>
      <c r="B131" s="1" t="s">
        <v>152</v>
      </c>
      <c r="C131" s="1">
        <v>1</v>
      </c>
      <c r="D131" s="1">
        <v>0</v>
      </c>
      <c r="E131" s="1">
        <v>0</v>
      </c>
      <c r="G131" s="1">
        <f>C131+D131+MIN(E131,4)+F131</f>
        <v>1</v>
      </c>
      <c r="H131" s="1">
        <f>D131+MIN(E131+F131,1)</f>
        <v>0</v>
      </c>
      <c r="I131" s="1">
        <f>IF(H131&gt;=4, 1, 0)</f>
        <v>0</v>
      </c>
      <c r="J131" s="1">
        <f>IF(G131&gt;=9, 1, 0)</f>
        <v>0</v>
      </c>
      <c r="K131" s="1">
        <f>IF(G131&gt;=11, 1, 0)</f>
        <v>0</v>
      </c>
      <c r="L131" s="1">
        <f>IF(K131+I131&gt;=2, 1, 0)</f>
        <v>0</v>
      </c>
      <c r="M131" s="1">
        <f>IF(J131+I131&gt;=2, 1, 0)</f>
        <v>0</v>
      </c>
      <c r="N131" s="1">
        <f>SUM(L131:M131)</f>
        <v>0</v>
      </c>
    </row>
    <row r="132" spans="1:14">
      <c r="A132" s="1" t="s">
        <v>161</v>
      </c>
      <c r="B132" s="1" t="s">
        <v>162</v>
      </c>
      <c r="C132" s="1">
        <v>1</v>
      </c>
      <c r="D132" s="1">
        <v>0</v>
      </c>
      <c r="E132" s="1">
        <v>0</v>
      </c>
      <c r="G132" s="1">
        <f>C132+D132+MIN(E132,4)+F132</f>
        <v>1</v>
      </c>
      <c r="H132" s="1">
        <f>D132+MIN(E132+F132,1)</f>
        <v>0</v>
      </c>
      <c r="I132" s="1">
        <f>IF(H132&gt;=4, 1, 0)</f>
        <v>0</v>
      </c>
      <c r="J132" s="1">
        <f>IF(G132&gt;=9, 1, 0)</f>
        <v>0</v>
      </c>
      <c r="K132" s="1">
        <f>IF(G132&gt;=11, 1, 0)</f>
        <v>0</v>
      </c>
      <c r="L132" s="1">
        <f>IF(K132+I132&gt;=2, 1, 0)</f>
        <v>0</v>
      </c>
      <c r="M132" s="1">
        <f>IF(J132+I132&gt;=2, 1, 0)</f>
        <v>0</v>
      </c>
      <c r="N132" s="1">
        <f>SUM(L132:M132)</f>
        <v>0</v>
      </c>
    </row>
    <row r="133" spans="1:14">
      <c r="A133" s="1" t="s">
        <v>189</v>
      </c>
      <c r="B133" s="1" t="s">
        <v>190</v>
      </c>
      <c r="C133" s="1">
        <v>1</v>
      </c>
      <c r="D133" s="1">
        <v>0</v>
      </c>
      <c r="E133" s="1">
        <v>0</v>
      </c>
      <c r="G133" s="1">
        <f>C133+D133+MIN(E133,4)+F133</f>
        <v>1</v>
      </c>
      <c r="H133" s="1">
        <f>D133+MIN(E133+F133,1)</f>
        <v>0</v>
      </c>
      <c r="I133" s="1">
        <f>IF(H133&gt;=4, 1, 0)</f>
        <v>0</v>
      </c>
      <c r="J133" s="1">
        <f>IF(G133&gt;=9, 1, 0)</f>
        <v>0</v>
      </c>
      <c r="K133" s="1">
        <f>IF(G133&gt;=11, 1, 0)</f>
        <v>0</v>
      </c>
      <c r="L133" s="1">
        <f>IF(K133+I133&gt;=2, 1, 0)</f>
        <v>0</v>
      </c>
      <c r="M133" s="1">
        <f>IF(J133+I133&gt;=2, 1, 0)</f>
        <v>0</v>
      </c>
      <c r="N133" s="1">
        <f>SUM(L133:M133)</f>
        <v>0</v>
      </c>
    </row>
    <row r="134" spans="1:14">
      <c r="A134" s="1" t="s">
        <v>193</v>
      </c>
      <c r="B134" s="1" t="s">
        <v>194</v>
      </c>
      <c r="C134" s="1">
        <v>1</v>
      </c>
      <c r="D134" s="1">
        <v>0</v>
      </c>
      <c r="E134" s="1">
        <v>0</v>
      </c>
      <c r="G134" s="1">
        <f>C134+D134+MIN(E134,4)+F134</f>
        <v>1</v>
      </c>
      <c r="H134" s="1">
        <f>D134+MIN(E134+F134,1)</f>
        <v>0</v>
      </c>
      <c r="I134" s="1">
        <f>IF(H134&gt;=4, 1, 0)</f>
        <v>0</v>
      </c>
      <c r="J134" s="1">
        <f>IF(G134&gt;=9, 1, 0)</f>
        <v>0</v>
      </c>
      <c r="K134" s="1">
        <f>IF(G134&gt;=11, 1, 0)</f>
        <v>0</v>
      </c>
      <c r="L134" s="1">
        <f>IF(K134+I134&gt;=2, 1, 0)</f>
        <v>0</v>
      </c>
      <c r="M134" s="1">
        <f>IF(J134+I134&gt;=2, 1, 0)</f>
        <v>0</v>
      </c>
      <c r="N134" s="1">
        <f>SUM(L134:M134)</f>
        <v>0</v>
      </c>
    </row>
    <row r="135" spans="1:14">
      <c r="A135" s="1" t="s">
        <v>195</v>
      </c>
      <c r="B135" s="1" t="s">
        <v>196</v>
      </c>
      <c r="C135" s="1">
        <v>1</v>
      </c>
      <c r="D135" s="1">
        <v>0</v>
      </c>
      <c r="E135" s="1">
        <v>0</v>
      </c>
      <c r="G135" s="1">
        <f>C135+D135+MIN(E135,4)+F135</f>
        <v>1</v>
      </c>
      <c r="H135" s="1">
        <f>D135+MIN(E135+F135,1)</f>
        <v>0</v>
      </c>
      <c r="I135" s="1">
        <f>IF(H135&gt;=4, 1, 0)</f>
        <v>0</v>
      </c>
      <c r="J135" s="1">
        <f>IF(G135&gt;=9, 1, 0)</f>
        <v>0</v>
      </c>
      <c r="K135" s="1">
        <f>IF(G135&gt;=11, 1, 0)</f>
        <v>0</v>
      </c>
      <c r="L135" s="1">
        <f>IF(K135+I135&gt;=2, 1, 0)</f>
        <v>0</v>
      </c>
      <c r="M135" s="1">
        <f>IF(J135+I135&gt;=2, 1, 0)</f>
        <v>0</v>
      </c>
      <c r="N135" s="1">
        <f>SUM(L135:M135)</f>
        <v>0</v>
      </c>
    </row>
    <row r="136" spans="1:14">
      <c r="A136" s="1" t="s">
        <v>197</v>
      </c>
      <c r="B136" s="1" t="s">
        <v>198</v>
      </c>
      <c r="C136" s="1">
        <v>1</v>
      </c>
      <c r="D136" s="1">
        <v>0</v>
      </c>
      <c r="E136" s="1">
        <v>0</v>
      </c>
      <c r="G136" s="1">
        <f>C136+D136+MIN(E136,4)+F136</f>
        <v>1</v>
      </c>
      <c r="H136" s="1">
        <f>D136+MIN(E136+F136,1)</f>
        <v>0</v>
      </c>
      <c r="I136" s="1">
        <f>IF(H136&gt;=4, 1, 0)</f>
        <v>0</v>
      </c>
      <c r="J136" s="1">
        <f>IF(G136&gt;=9, 1, 0)</f>
        <v>0</v>
      </c>
      <c r="K136" s="1">
        <f>IF(G136&gt;=11, 1, 0)</f>
        <v>0</v>
      </c>
      <c r="L136" s="1">
        <f>IF(K136+I136&gt;=2, 1, 0)</f>
        <v>0</v>
      </c>
      <c r="M136" s="1">
        <f>IF(J136+I136&gt;=2, 1, 0)</f>
        <v>0</v>
      </c>
      <c r="N136" s="1">
        <f>SUM(L136:M136)</f>
        <v>0</v>
      </c>
    </row>
    <row r="137" spans="1:14">
      <c r="A137" s="1" t="s">
        <v>201</v>
      </c>
      <c r="B137" s="1" t="s">
        <v>202</v>
      </c>
      <c r="C137" s="1">
        <v>1</v>
      </c>
      <c r="D137" s="1">
        <v>0</v>
      </c>
      <c r="E137" s="1">
        <v>0</v>
      </c>
      <c r="G137" s="1">
        <f>C137+D137+MIN(E137,4)+F137</f>
        <v>1</v>
      </c>
      <c r="H137" s="1">
        <f>D137+MIN(E137+F137,1)</f>
        <v>0</v>
      </c>
      <c r="I137" s="1">
        <f>IF(H137&gt;=4, 1, 0)</f>
        <v>0</v>
      </c>
      <c r="J137" s="1">
        <f>IF(G137&gt;=9, 1, 0)</f>
        <v>0</v>
      </c>
      <c r="K137" s="1">
        <f>IF(G137&gt;=11, 1, 0)</f>
        <v>0</v>
      </c>
      <c r="L137" s="1">
        <f>IF(K137+I137&gt;=2, 1, 0)</f>
        <v>0</v>
      </c>
      <c r="M137" s="1">
        <f>IF(J137+I137&gt;=2, 1, 0)</f>
        <v>0</v>
      </c>
      <c r="N137" s="1">
        <f>SUM(L137:M137)</f>
        <v>0</v>
      </c>
    </row>
    <row r="138" spans="1:14">
      <c r="A138" s="1">
        <v>123456</v>
      </c>
      <c r="B138" s="1" t="s">
        <v>203</v>
      </c>
      <c r="C138" s="1">
        <v>1</v>
      </c>
      <c r="D138" s="1">
        <v>0</v>
      </c>
      <c r="E138" s="1">
        <v>0</v>
      </c>
      <c r="G138" s="1">
        <f>C138+D138+MIN(E138,4)+F138</f>
        <v>1</v>
      </c>
      <c r="H138" s="1">
        <f>D138+MIN(E138+F138,1)</f>
        <v>0</v>
      </c>
      <c r="I138" s="1">
        <f>IF(H138&gt;=4, 1, 0)</f>
        <v>0</v>
      </c>
      <c r="J138" s="1">
        <f>IF(G138&gt;=9, 1, 0)</f>
        <v>0</v>
      </c>
      <c r="K138" s="1">
        <f>IF(G138&gt;=11, 1, 0)</f>
        <v>0</v>
      </c>
      <c r="L138" s="1">
        <f>IF(K138+I138&gt;=2, 1, 0)</f>
        <v>0</v>
      </c>
      <c r="M138" s="1">
        <f>IF(J138+I138&gt;=2, 1, 0)</f>
        <v>0</v>
      </c>
      <c r="N138" s="1">
        <f>SUM(L138:M138)</f>
        <v>0</v>
      </c>
    </row>
    <row r="139" spans="1:14">
      <c r="A139" s="1" t="s">
        <v>245</v>
      </c>
      <c r="B139" s="1" t="s">
        <v>246</v>
      </c>
      <c r="C139" s="1">
        <v>1</v>
      </c>
      <c r="D139" s="1">
        <v>0</v>
      </c>
      <c r="E139" s="1">
        <v>0</v>
      </c>
      <c r="G139" s="1">
        <f>C139+D139+MIN(E139,4)+F139</f>
        <v>1</v>
      </c>
      <c r="H139" s="1">
        <f>D139+MIN(E139+F139,1)</f>
        <v>0</v>
      </c>
      <c r="I139" s="1">
        <f>IF(H139&gt;=4, 1, 0)</f>
        <v>0</v>
      </c>
      <c r="J139" s="1">
        <f>IF(G139&gt;=9, 1, 0)</f>
        <v>0</v>
      </c>
      <c r="K139" s="1">
        <f>IF(G139&gt;=11, 1, 0)</f>
        <v>0</v>
      </c>
      <c r="L139" s="1">
        <f>IF(K139+I139&gt;=2, 1, 0)</f>
        <v>0</v>
      </c>
      <c r="M139" s="1">
        <f>IF(J139+I139&gt;=2, 1, 0)</f>
        <v>0</v>
      </c>
      <c r="N139" s="1">
        <f>SUM(L139:M139)</f>
        <v>0</v>
      </c>
    </row>
    <row r="140" spans="1:14">
      <c r="A140" s="1" t="s">
        <v>247</v>
      </c>
      <c r="B140" s="1" t="s">
        <v>248</v>
      </c>
      <c r="C140" s="1">
        <v>1</v>
      </c>
      <c r="D140" s="1">
        <v>0</v>
      </c>
      <c r="E140" s="1">
        <v>0</v>
      </c>
      <c r="G140" s="1">
        <f>C140+D140+MIN(E140,4)+F140</f>
        <v>1</v>
      </c>
      <c r="H140" s="1">
        <f>D140+MIN(E140+F140,1)</f>
        <v>0</v>
      </c>
      <c r="I140" s="1">
        <f>IF(H140&gt;=4, 1, 0)</f>
        <v>0</v>
      </c>
      <c r="J140" s="1">
        <f>IF(G140&gt;=9, 1, 0)</f>
        <v>0</v>
      </c>
      <c r="K140" s="1">
        <f>IF(G140&gt;=11, 1, 0)</f>
        <v>0</v>
      </c>
      <c r="L140" s="1">
        <f>IF(K140+I140&gt;=2, 1, 0)</f>
        <v>0</v>
      </c>
      <c r="M140" s="1">
        <f>IF(J140+I140&gt;=2, 1, 0)</f>
        <v>0</v>
      </c>
      <c r="N140" s="1">
        <f>SUM(L140:M140)</f>
        <v>0</v>
      </c>
    </row>
    <row r="141" spans="1:14">
      <c r="A141" s="1" t="s">
        <v>249</v>
      </c>
      <c r="B141" s="1" t="s">
        <v>250</v>
      </c>
      <c r="C141" s="1">
        <v>1</v>
      </c>
      <c r="D141" s="1">
        <v>0</v>
      </c>
      <c r="E141" s="1">
        <v>0</v>
      </c>
      <c r="G141" s="1">
        <f>C141+D141+MIN(E141,4)+F141</f>
        <v>1</v>
      </c>
      <c r="H141" s="1">
        <f>D141+MIN(E141+F141,1)</f>
        <v>0</v>
      </c>
      <c r="I141" s="1">
        <f>IF(H141&gt;=4, 1, 0)</f>
        <v>0</v>
      </c>
      <c r="J141" s="1">
        <f>IF(G141&gt;=9, 1, 0)</f>
        <v>0</v>
      </c>
      <c r="K141" s="1">
        <f>IF(G141&gt;=11, 1, 0)</f>
        <v>0</v>
      </c>
      <c r="L141" s="1">
        <f>IF(K141+I141&gt;=2, 1, 0)</f>
        <v>0</v>
      </c>
      <c r="M141" s="1">
        <f>IF(J141+I141&gt;=2, 1, 0)</f>
        <v>0</v>
      </c>
      <c r="N141" s="1">
        <f>SUM(L141:M141)</f>
        <v>0</v>
      </c>
    </row>
    <row r="142" spans="1:14">
      <c r="A142" s="1" t="s">
        <v>253</v>
      </c>
      <c r="B142" s="1" t="s">
        <v>254</v>
      </c>
      <c r="C142" s="1">
        <v>1</v>
      </c>
      <c r="D142" s="1">
        <v>0</v>
      </c>
      <c r="E142" s="1">
        <v>0</v>
      </c>
      <c r="G142" s="1">
        <f>C142+D142+MIN(E142,4)+F142</f>
        <v>1</v>
      </c>
      <c r="H142" s="1">
        <f>D142+MIN(E142+F142,1)</f>
        <v>0</v>
      </c>
      <c r="I142" s="1">
        <f>IF(H142&gt;=4, 1, 0)</f>
        <v>0</v>
      </c>
      <c r="J142" s="1">
        <f>IF(G142&gt;=9, 1, 0)</f>
        <v>0</v>
      </c>
      <c r="K142" s="1">
        <f>IF(G142&gt;=11, 1, 0)</f>
        <v>0</v>
      </c>
      <c r="L142" s="1">
        <f>IF(K142+I142&gt;=2, 1, 0)</f>
        <v>0</v>
      </c>
      <c r="M142" s="1">
        <f>IF(J142+I142&gt;=2, 1, 0)</f>
        <v>0</v>
      </c>
      <c r="N142" s="1">
        <f>SUM(L142:M142)</f>
        <v>0</v>
      </c>
    </row>
    <row r="143" spans="1:14">
      <c r="A143" s="1" t="s">
        <v>255</v>
      </c>
      <c r="B143" s="1" t="s">
        <v>256</v>
      </c>
      <c r="C143" s="1">
        <v>1</v>
      </c>
      <c r="D143" s="1">
        <v>0</v>
      </c>
      <c r="E143" s="1">
        <v>0</v>
      </c>
      <c r="G143" s="1">
        <f>C143+D143+MIN(E143,4)+F143</f>
        <v>1</v>
      </c>
      <c r="H143" s="1">
        <f>D143+MIN(E143+F143,1)</f>
        <v>0</v>
      </c>
      <c r="I143" s="1">
        <f>IF(H143&gt;=4, 1, 0)</f>
        <v>0</v>
      </c>
      <c r="J143" s="1">
        <f>IF(G143&gt;=9, 1, 0)</f>
        <v>0</v>
      </c>
      <c r="K143" s="1">
        <f>IF(G143&gt;=11, 1, 0)</f>
        <v>0</v>
      </c>
      <c r="L143" s="1">
        <f>IF(K143+I143&gt;=2, 1, 0)</f>
        <v>0</v>
      </c>
      <c r="M143" s="1">
        <f>IF(J143+I143&gt;=2, 1, 0)</f>
        <v>0</v>
      </c>
      <c r="N143" s="1">
        <f>SUM(L143:M143)</f>
        <v>0</v>
      </c>
    </row>
    <row r="144" spans="1:14">
      <c r="A144" s="1" t="s">
        <v>257</v>
      </c>
      <c r="B144" s="1" t="s">
        <v>258</v>
      </c>
      <c r="C144" s="1">
        <v>1</v>
      </c>
      <c r="D144" s="1">
        <v>0</v>
      </c>
      <c r="E144" s="1">
        <v>0</v>
      </c>
      <c r="G144" s="1">
        <f>C144+D144+MIN(E144,4)+F144</f>
        <v>1</v>
      </c>
      <c r="H144" s="1">
        <f>D144+MIN(E144+F144,1)</f>
        <v>0</v>
      </c>
      <c r="I144" s="1">
        <f>IF(H144&gt;=4, 1, 0)</f>
        <v>0</v>
      </c>
      <c r="J144" s="1">
        <f>IF(G144&gt;=9, 1, 0)</f>
        <v>0</v>
      </c>
      <c r="K144" s="1">
        <f>IF(G144&gt;=11, 1, 0)</f>
        <v>0</v>
      </c>
      <c r="L144" s="1">
        <f>IF(K144+I144&gt;=2, 1, 0)</f>
        <v>0</v>
      </c>
      <c r="M144" s="1">
        <f>IF(J144+I144&gt;=2, 1, 0)</f>
        <v>0</v>
      </c>
      <c r="N144" s="1">
        <f>SUM(L144:M144)</f>
        <v>0</v>
      </c>
    </row>
    <row r="145" spans="1:14">
      <c r="A145" s="1">
        <v>2211110515</v>
      </c>
      <c r="B145" s="1" t="s">
        <v>259</v>
      </c>
      <c r="C145" s="1">
        <v>1</v>
      </c>
      <c r="D145" s="1">
        <v>0</v>
      </c>
      <c r="E145" s="1">
        <v>0</v>
      </c>
      <c r="G145" s="1">
        <f>C145+D145+MIN(E145,4)+F145</f>
        <v>1</v>
      </c>
      <c r="H145" s="1">
        <f>D145+MIN(E145+F145,1)</f>
        <v>0</v>
      </c>
      <c r="I145" s="1">
        <f>IF(H145&gt;=4, 1, 0)</f>
        <v>0</v>
      </c>
      <c r="J145" s="1">
        <f>IF(G145&gt;=9, 1, 0)</f>
        <v>0</v>
      </c>
      <c r="K145" s="1">
        <f>IF(G145&gt;=11, 1, 0)</f>
        <v>0</v>
      </c>
      <c r="L145" s="1">
        <f>IF(K145+I145&gt;=2, 1, 0)</f>
        <v>0</v>
      </c>
      <c r="M145" s="1">
        <f>IF(J145+I145&gt;=2, 1, 0)</f>
        <v>0</v>
      </c>
      <c r="N145" s="1">
        <f>SUM(L145:M145)</f>
        <v>0</v>
      </c>
    </row>
    <row r="146" spans="1:14">
      <c r="A146" s="1" t="s">
        <v>260</v>
      </c>
      <c r="B146" s="1" t="s">
        <v>261</v>
      </c>
      <c r="C146" s="1">
        <v>1</v>
      </c>
      <c r="D146" s="1">
        <v>0</v>
      </c>
      <c r="E146" s="1">
        <v>0</v>
      </c>
      <c r="G146" s="1">
        <f>C146+D146+MIN(E146,4)+F146</f>
        <v>1</v>
      </c>
      <c r="H146" s="1">
        <f>D146+MIN(E146+F146,1)</f>
        <v>0</v>
      </c>
      <c r="I146" s="1">
        <f>IF(H146&gt;=4, 1, 0)</f>
        <v>0</v>
      </c>
      <c r="J146" s="1">
        <f>IF(G146&gt;=9, 1, 0)</f>
        <v>0</v>
      </c>
      <c r="K146" s="1">
        <f>IF(G146&gt;=11, 1, 0)</f>
        <v>0</v>
      </c>
      <c r="L146" s="1">
        <f>IF(K146+I146&gt;=2, 1, 0)</f>
        <v>0</v>
      </c>
      <c r="M146" s="1">
        <f>IF(J146+I146&gt;=2, 1, 0)</f>
        <v>0</v>
      </c>
      <c r="N146" s="1">
        <f>SUM(L146:M146)</f>
        <v>0</v>
      </c>
    </row>
    <row r="147" spans="1:14">
      <c r="A147" s="1" t="s">
        <v>262</v>
      </c>
      <c r="B147" s="1" t="s">
        <v>263</v>
      </c>
      <c r="C147" s="1">
        <v>1</v>
      </c>
      <c r="D147" s="1">
        <v>0</v>
      </c>
      <c r="E147" s="1">
        <v>0</v>
      </c>
      <c r="G147" s="1">
        <f>C147+D147+MIN(E147,4)+F147</f>
        <v>1</v>
      </c>
      <c r="H147" s="1">
        <f>D147+MIN(E147+F147,1)</f>
        <v>0</v>
      </c>
      <c r="I147" s="1">
        <f>IF(H147&gt;=4, 1, 0)</f>
        <v>0</v>
      </c>
      <c r="J147" s="1">
        <f>IF(G147&gt;=9, 1, 0)</f>
        <v>0</v>
      </c>
      <c r="K147" s="1">
        <f>IF(G147&gt;=11, 1, 0)</f>
        <v>0</v>
      </c>
      <c r="L147" s="1">
        <f>IF(K147+I147&gt;=2, 1, 0)</f>
        <v>0</v>
      </c>
      <c r="M147" s="1">
        <f>IF(J147+I147&gt;=2, 1, 0)</f>
        <v>0</v>
      </c>
      <c r="N147" s="1">
        <f>SUM(L147:M147)</f>
        <v>0</v>
      </c>
    </row>
    <row r="148" spans="1:14">
      <c r="A148" s="1" t="s">
        <v>264</v>
      </c>
      <c r="B148" s="1" t="s">
        <v>265</v>
      </c>
      <c r="C148" s="1">
        <v>1</v>
      </c>
      <c r="D148" s="1">
        <v>0</v>
      </c>
      <c r="E148" s="1">
        <v>0</v>
      </c>
      <c r="G148" s="1">
        <f>C148+D148+MIN(E148,4)+F148</f>
        <v>1</v>
      </c>
      <c r="H148" s="1">
        <f>D148+MIN(E148+F148,1)</f>
        <v>0</v>
      </c>
      <c r="I148" s="1">
        <f>IF(H148&gt;=4, 1, 0)</f>
        <v>0</v>
      </c>
      <c r="J148" s="1">
        <f>IF(G148&gt;=9, 1, 0)</f>
        <v>0</v>
      </c>
      <c r="K148" s="1">
        <f>IF(G148&gt;=11, 1, 0)</f>
        <v>0</v>
      </c>
      <c r="L148" s="1">
        <f>IF(K148+I148&gt;=2, 1, 0)</f>
        <v>0</v>
      </c>
      <c r="M148" s="1">
        <f>IF(J148+I148&gt;=2, 1, 0)</f>
        <v>0</v>
      </c>
      <c r="N148" s="1">
        <f>SUM(L148:M148)</f>
        <v>0</v>
      </c>
    </row>
    <row r="149" spans="1:14">
      <c r="A149" s="1" t="s">
        <v>266</v>
      </c>
      <c r="B149" s="1" t="s">
        <v>267</v>
      </c>
      <c r="C149" s="1">
        <v>1</v>
      </c>
      <c r="D149" s="1">
        <v>0</v>
      </c>
      <c r="E149" s="1">
        <v>0</v>
      </c>
      <c r="G149" s="1">
        <f>C149+D149+MIN(E149,4)+F149</f>
        <v>1</v>
      </c>
      <c r="H149" s="1">
        <f>D149+MIN(E149+F149,1)</f>
        <v>0</v>
      </c>
      <c r="I149" s="1">
        <f>IF(H149&gt;=4, 1, 0)</f>
        <v>0</v>
      </c>
      <c r="J149" s="1">
        <f>IF(G149&gt;=9, 1, 0)</f>
        <v>0</v>
      </c>
      <c r="K149" s="1">
        <f>IF(G149&gt;=11, 1, 0)</f>
        <v>0</v>
      </c>
      <c r="L149" s="1">
        <f>IF(K149+I149&gt;=2, 1, 0)</f>
        <v>0</v>
      </c>
      <c r="M149" s="1">
        <f>IF(J149+I149&gt;=2, 1, 0)</f>
        <v>0</v>
      </c>
      <c r="N149" s="1">
        <f>SUM(L149:M149)</f>
        <v>0</v>
      </c>
    </row>
    <row r="150" spans="1:14">
      <c r="A150" s="1" t="s">
        <v>268</v>
      </c>
      <c r="B150" s="1" t="s">
        <v>269</v>
      </c>
      <c r="C150" s="1">
        <v>1</v>
      </c>
      <c r="D150" s="1">
        <v>0</v>
      </c>
      <c r="E150" s="1">
        <v>0</v>
      </c>
      <c r="G150" s="1">
        <f>C150+D150+MIN(E150,4)+F150</f>
        <v>1</v>
      </c>
      <c r="H150" s="1">
        <f>D150+MIN(E150+F150,1)</f>
        <v>0</v>
      </c>
      <c r="I150" s="1">
        <f>IF(H150&gt;=4, 1, 0)</f>
        <v>0</v>
      </c>
      <c r="J150" s="1">
        <f>IF(G150&gt;=9, 1, 0)</f>
        <v>0</v>
      </c>
      <c r="K150" s="1">
        <f>IF(G150&gt;=11, 1, 0)</f>
        <v>0</v>
      </c>
      <c r="L150" s="1">
        <f>IF(K150+I150&gt;=2, 1, 0)</f>
        <v>0</v>
      </c>
      <c r="M150" s="1">
        <f>IF(J150+I150&gt;=2, 1, 0)</f>
        <v>0</v>
      </c>
      <c r="N150" s="1">
        <f>SUM(L150:M150)</f>
        <v>0</v>
      </c>
    </row>
    <row r="151" spans="1:14">
      <c r="A151" s="1" t="s">
        <v>270</v>
      </c>
      <c r="B151" s="1" t="s">
        <v>271</v>
      </c>
      <c r="C151" s="1">
        <v>1</v>
      </c>
      <c r="D151" s="1">
        <v>0</v>
      </c>
      <c r="E151" s="1">
        <v>0</v>
      </c>
      <c r="G151" s="1">
        <f>C151+D151+MIN(E151,4)+F151</f>
        <v>1</v>
      </c>
      <c r="H151" s="1">
        <f>D151+MIN(E151+F151,1)</f>
        <v>0</v>
      </c>
      <c r="I151" s="1">
        <f>IF(H151&gt;=4, 1, 0)</f>
        <v>0</v>
      </c>
      <c r="J151" s="1">
        <f>IF(G151&gt;=9, 1, 0)</f>
        <v>0</v>
      </c>
      <c r="K151" s="1">
        <f>IF(G151&gt;=11, 1, 0)</f>
        <v>0</v>
      </c>
      <c r="L151" s="1">
        <f>IF(K151+I151&gt;=2, 1, 0)</f>
        <v>0</v>
      </c>
      <c r="M151" s="1">
        <f>IF(J151+I151&gt;=2, 1, 0)</f>
        <v>0</v>
      </c>
      <c r="N151" s="1">
        <f>SUM(L151:M151)</f>
        <v>0</v>
      </c>
    </row>
    <row r="152" spans="1:14">
      <c r="A152" s="1" t="s">
        <v>272</v>
      </c>
      <c r="B152" s="1" t="s">
        <v>273</v>
      </c>
      <c r="C152" s="1">
        <v>1</v>
      </c>
      <c r="D152" s="1">
        <v>0</v>
      </c>
      <c r="E152" s="1">
        <v>0</v>
      </c>
      <c r="G152" s="1">
        <f>C152+D152+MIN(E152,4)+F152</f>
        <v>1</v>
      </c>
      <c r="H152" s="1">
        <f>D152+MIN(E152+F152,1)</f>
        <v>0</v>
      </c>
      <c r="I152" s="1">
        <f>IF(H152&gt;=4, 1, 0)</f>
        <v>0</v>
      </c>
      <c r="J152" s="1">
        <f>IF(G152&gt;=9, 1, 0)</f>
        <v>0</v>
      </c>
      <c r="K152" s="1">
        <f>IF(G152&gt;=11, 1, 0)</f>
        <v>0</v>
      </c>
      <c r="L152" s="1">
        <f>IF(K152+I152&gt;=2, 1, 0)</f>
        <v>0</v>
      </c>
      <c r="M152" s="1">
        <f>IF(J152+I152&gt;=2, 1, 0)</f>
        <v>0</v>
      </c>
      <c r="N152" s="1">
        <f>SUM(L152:M152)</f>
        <v>0</v>
      </c>
    </row>
    <row r="153" spans="1:14">
      <c r="A153" s="1" t="s">
        <v>274</v>
      </c>
      <c r="B153" s="1" t="s">
        <v>275</v>
      </c>
      <c r="C153" s="1">
        <v>1</v>
      </c>
      <c r="D153" s="1">
        <v>0</v>
      </c>
      <c r="E153" s="1">
        <v>0</v>
      </c>
      <c r="G153" s="1">
        <f>C153+D153+MIN(E153,4)+F153</f>
        <v>1</v>
      </c>
      <c r="H153" s="1">
        <f>D153+MIN(E153+F153,1)</f>
        <v>0</v>
      </c>
      <c r="I153" s="1">
        <f>IF(H153&gt;=4, 1, 0)</f>
        <v>0</v>
      </c>
      <c r="J153" s="1">
        <f>IF(G153&gt;=9, 1, 0)</f>
        <v>0</v>
      </c>
      <c r="K153" s="1">
        <f>IF(G153&gt;=11, 1, 0)</f>
        <v>0</v>
      </c>
      <c r="L153" s="1">
        <f>IF(K153+I153&gt;=2, 1, 0)</f>
        <v>0</v>
      </c>
      <c r="M153" s="1">
        <f>IF(J153+I153&gt;=2, 1, 0)</f>
        <v>0</v>
      </c>
      <c r="N153" s="1">
        <f>SUM(L153:M153)</f>
        <v>0</v>
      </c>
    </row>
    <row r="154" spans="1:14">
      <c r="A154" s="1" t="s">
        <v>276</v>
      </c>
      <c r="B154" s="1" t="s">
        <v>277</v>
      </c>
      <c r="C154" s="1">
        <v>1</v>
      </c>
      <c r="D154" s="1">
        <v>0</v>
      </c>
      <c r="E154" s="1">
        <v>0</v>
      </c>
      <c r="G154" s="1">
        <f>C154+D154+MIN(E154,4)+F154</f>
        <v>1</v>
      </c>
      <c r="H154" s="1">
        <f>D154+MIN(E154+F154,1)</f>
        <v>0</v>
      </c>
      <c r="I154" s="1">
        <f>IF(H154&gt;=4, 1, 0)</f>
        <v>0</v>
      </c>
      <c r="J154" s="1">
        <f>IF(G154&gt;=9, 1, 0)</f>
        <v>0</v>
      </c>
      <c r="K154" s="1">
        <f>IF(G154&gt;=11, 1, 0)</f>
        <v>0</v>
      </c>
      <c r="L154" s="1">
        <f>IF(K154+I154&gt;=2, 1, 0)</f>
        <v>0</v>
      </c>
      <c r="M154" s="1">
        <f>IF(J154+I154&gt;=2, 1, 0)</f>
        <v>0</v>
      </c>
      <c r="N154" s="1">
        <f>SUM(L154:M154)</f>
        <v>0</v>
      </c>
    </row>
    <row r="155" spans="1:14">
      <c r="A155" s="1" t="s">
        <v>278</v>
      </c>
      <c r="B155" s="1" t="s">
        <v>279</v>
      </c>
      <c r="C155" s="1">
        <v>1</v>
      </c>
      <c r="D155" s="1">
        <v>0</v>
      </c>
      <c r="E155" s="1">
        <v>0</v>
      </c>
      <c r="G155" s="1">
        <f>C155+D155+MIN(E155,4)+F155</f>
        <v>1</v>
      </c>
      <c r="H155" s="1">
        <f>D155+MIN(E155+F155,1)</f>
        <v>0</v>
      </c>
      <c r="I155" s="1">
        <f>IF(H155&gt;=4, 1, 0)</f>
        <v>0</v>
      </c>
      <c r="J155" s="1">
        <f>IF(G155&gt;=9, 1, 0)</f>
        <v>0</v>
      </c>
      <c r="K155" s="1">
        <f>IF(G155&gt;=11, 1, 0)</f>
        <v>0</v>
      </c>
      <c r="L155" s="1">
        <f>IF(K155+I155&gt;=2, 1, 0)</f>
        <v>0</v>
      </c>
      <c r="M155" s="1">
        <f>IF(J155+I155&gt;=2, 1, 0)</f>
        <v>0</v>
      </c>
      <c r="N155" s="1">
        <f>SUM(L155:M155)</f>
        <v>0</v>
      </c>
    </row>
    <row r="156" spans="1:14">
      <c r="A156" s="1" t="s">
        <v>298</v>
      </c>
      <c r="B156" s="1" t="s">
        <v>299</v>
      </c>
      <c r="C156" s="1">
        <v>1</v>
      </c>
      <c r="D156" s="1">
        <v>0</v>
      </c>
      <c r="E156" s="1">
        <v>0</v>
      </c>
      <c r="G156" s="1">
        <f>C156+D156+MIN(E156,4)+F156</f>
        <v>1</v>
      </c>
      <c r="H156" s="1">
        <f>D156+MIN(E156+F156,1)</f>
        <v>0</v>
      </c>
      <c r="I156" s="1">
        <f>IF(H156&gt;=4, 1, 0)</f>
        <v>0</v>
      </c>
      <c r="J156" s="1">
        <f>IF(G156&gt;=9, 1, 0)</f>
        <v>0</v>
      </c>
      <c r="K156" s="1">
        <f>IF(G156&gt;=11, 1, 0)</f>
        <v>0</v>
      </c>
      <c r="L156" s="1">
        <f>IF(K156+I156&gt;=2, 1, 0)</f>
        <v>0</v>
      </c>
      <c r="M156" s="1">
        <f>IF(J156+I156&gt;=2, 1, 0)</f>
        <v>0</v>
      </c>
      <c r="N156" s="1">
        <f>SUM(L156:M156)</f>
        <v>0</v>
      </c>
    </row>
    <row r="157" spans="1:14">
      <c r="A157" s="1" t="s">
        <v>302</v>
      </c>
      <c r="B157" s="1" t="s">
        <v>303</v>
      </c>
      <c r="C157" s="1">
        <v>1</v>
      </c>
      <c r="D157" s="1">
        <v>0</v>
      </c>
      <c r="E157" s="1">
        <v>0</v>
      </c>
      <c r="G157" s="1">
        <f>C157+D157+MIN(E157,4)+F157</f>
        <v>1</v>
      </c>
      <c r="H157" s="1">
        <f>D157+MIN(E157+F157,1)</f>
        <v>0</v>
      </c>
      <c r="I157" s="1">
        <f>IF(H157&gt;=4, 1, 0)</f>
        <v>0</v>
      </c>
      <c r="J157" s="1">
        <f>IF(G157&gt;=9, 1, 0)</f>
        <v>0</v>
      </c>
      <c r="K157" s="1">
        <f>IF(G157&gt;=11, 1, 0)</f>
        <v>0</v>
      </c>
      <c r="L157" s="1">
        <f>IF(K157+I157&gt;=2, 1, 0)</f>
        <v>0</v>
      </c>
      <c r="M157" s="1">
        <f>IF(J157+I157&gt;=2, 1, 0)</f>
        <v>0</v>
      </c>
      <c r="N157" s="1">
        <f>SUM(L157:M157)</f>
        <v>0</v>
      </c>
    </row>
    <row r="158" spans="1:14">
      <c r="A158" s="1" t="s">
        <v>331</v>
      </c>
      <c r="B158" s="1" t="s">
        <v>332</v>
      </c>
      <c r="C158" s="1">
        <v>0</v>
      </c>
      <c r="D158" s="1">
        <v>0</v>
      </c>
      <c r="E158" s="1">
        <v>0.5</v>
      </c>
      <c r="G158" s="1">
        <f>C158+D158+MIN(E158,4)+F158</f>
        <v>0.5</v>
      </c>
      <c r="H158" s="1">
        <f>D158+MIN(E158+F158,1)</f>
        <v>0.5</v>
      </c>
      <c r="I158" s="1">
        <f>IF(H158&gt;=4, 1, 0)</f>
        <v>0</v>
      </c>
      <c r="J158" s="1">
        <f>IF(G158&gt;=9, 1, 0)</f>
        <v>0</v>
      </c>
      <c r="K158" s="1">
        <f>IF(G158&gt;=11, 1, 0)</f>
        <v>0</v>
      </c>
      <c r="L158" s="1">
        <f>IF(K158+I158&gt;=2, 1, 0)</f>
        <v>0</v>
      </c>
      <c r="M158" s="1">
        <f>IF(J158+I158&gt;=2, 1, 0)</f>
        <v>0</v>
      </c>
      <c r="N158" s="1">
        <f>SUM(L158:M158)</f>
        <v>0</v>
      </c>
    </row>
    <row r="159" spans="1:14">
      <c r="A159" s="1" t="s">
        <v>149</v>
      </c>
      <c r="B159" s="1" t="s">
        <v>150</v>
      </c>
      <c r="C159" s="1">
        <v>0</v>
      </c>
      <c r="D159" s="1">
        <v>0</v>
      </c>
      <c r="E159" s="1">
        <v>0</v>
      </c>
      <c r="G159" s="1">
        <f>C159+D159+MIN(E159,4)+F159</f>
        <v>0</v>
      </c>
      <c r="H159" s="1">
        <f>D159+MIN(E159+F159,1)</f>
        <v>0</v>
      </c>
      <c r="I159" s="1">
        <f>IF(H159&gt;=4, 1, 0)</f>
        <v>0</v>
      </c>
      <c r="J159" s="1">
        <f>IF(G159&gt;=9, 1, 0)</f>
        <v>0</v>
      </c>
      <c r="K159" s="1">
        <f>IF(G159&gt;=11, 1, 0)</f>
        <v>0</v>
      </c>
      <c r="L159" s="1">
        <f>IF(K159+I159&gt;=2, 1, 0)</f>
        <v>0</v>
      </c>
      <c r="M159" s="1">
        <f>IF(J159+I159&gt;=2, 1, 0)</f>
        <v>0</v>
      </c>
      <c r="N159" s="1">
        <f>SUM(L159:M159)</f>
        <v>0</v>
      </c>
    </row>
    <row r="160" spans="1:14">
      <c r="A160" s="1" t="s">
        <v>159</v>
      </c>
      <c r="B160" s="1" t="s">
        <v>160</v>
      </c>
      <c r="C160" s="1">
        <v>0</v>
      </c>
      <c r="D160" s="1">
        <v>0</v>
      </c>
      <c r="E160" s="1">
        <v>0</v>
      </c>
      <c r="G160" s="1">
        <f>C160+D160+MIN(E160,4)+F160</f>
        <v>0</v>
      </c>
      <c r="H160" s="1">
        <f>D160+MIN(E160+F160,1)</f>
        <v>0</v>
      </c>
      <c r="I160" s="1">
        <f>IF(H160&gt;=4, 1, 0)</f>
        <v>0</v>
      </c>
      <c r="J160" s="1">
        <f>IF(G160&gt;=9, 1, 0)</f>
        <v>0</v>
      </c>
      <c r="K160" s="1">
        <f>IF(G160&gt;=11, 1, 0)</f>
        <v>0</v>
      </c>
      <c r="L160" s="1">
        <f>IF(K160+I160&gt;=2, 1, 0)</f>
        <v>0</v>
      </c>
      <c r="M160" s="1">
        <f>IF(J160+I160&gt;=2, 1, 0)</f>
        <v>0</v>
      </c>
      <c r="N160" s="1">
        <f>SUM(L160:M160)</f>
        <v>0</v>
      </c>
    </row>
    <row r="161" spans="1:14">
      <c r="A161" s="1" t="s">
        <v>179</v>
      </c>
      <c r="B161" s="1" t="s">
        <v>180</v>
      </c>
      <c r="C161" s="1">
        <v>0</v>
      </c>
      <c r="D161" s="1">
        <v>0</v>
      </c>
      <c r="E161" s="1">
        <v>0</v>
      </c>
      <c r="G161" s="1">
        <f>C161+D161+MIN(E161,4)+F161</f>
        <v>0</v>
      </c>
      <c r="H161" s="1">
        <f>D161+MIN(E161+F161,1)</f>
        <v>0</v>
      </c>
      <c r="I161" s="1">
        <f>IF(H161&gt;=4, 1, 0)</f>
        <v>0</v>
      </c>
      <c r="J161" s="1">
        <f>IF(G161&gt;=9, 1, 0)</f>
        <v>0</v>
      </c>
      <c r="K161" s="1">
        <f>IF(G161&gt;=11, 1, 0)</f>
        <v>0</v>
      </c>
      <c r="L161" s="1">
        <f>IF(K161+I161&gt;=2, 1, 0)</f>
        <v>0</v>
      </c>
      <c r="M161" s="1">
        <f>IF(J161+I161&gt;=2, 1, 0)</f>
        <v>0</v>
      </c>
      <c r="N161" s="1">
        <f>SUM(L161:M161)</f>
        <v>0</v>
      </c>
    </row>
    <row r="162" spans="1:14">
      <c r="A162" s="1" t="s">
        <v>183</v>
      </c>
      <c r="B162" s="1" t="s">
        <v>184</v>
      </c>
      <c r="C162" s="1">
        <v>0</v>
      </c>
      <c r="D162" s="1">
        <v>0</v>
      </c>
      <c r="E162" s="1">
        <v>0</v>
      </c>
      <c r="G162" s="1">
        <f>C162+D162+MIN(E162,4)+F162</f>
        <v>0</v>
      </c>
      <c r="H162" s="1">
        <f>D162+MIN(E162+F162,1)</f>
        <v>0</v>
      </c>
      <c r="I162" s="1">
        <f>IF(H162&gt;=4, 1, 0)</f>
        <v>0</v>
      </c>
      <c r="J162" s="1">
        <f>IF(G162&gt;=9, 1, 0)</f>
        <v>0</v>
      </c>
      <c r="K162" s="1">
        <f>IF(G162&gt;=11, 1, 0)</f>
        <v>0</v>
      </c>
      <c r="L162" s="1">
        <f>IF(K162+I162&gt;=2, 1, 0)</f>
        <v>0</v>
      </c>
      <c r="M162" s="1">
        <f>IF(J162+I162&gt;=2, 1, 0)</f>
        <v>0</v>
      </c>
      <c r="N162" s="1">
        <f>SUM(L162:M162)</f>
        <v>0</v>
      </c>
    </row>
    <row r="163" spans="1:14">
      <c r="A163" s="1" t="s">
        <v>222</v>
      </c>
      <c r="B163" s="1" t="s">
        <v>223</v>
      </c>
      <c r="C163" s="1">
        <v>0</v>
      </c>
      <c r="D163" s="1">
        <v>0</v>
      </c>
      <c r="E163" s="1">
        <v>0</v>
      </c>
      <c r="G163" s="1">
        <f>C163+D163+MIN(E163,4)+F163</f>
        <v>0</v>
      </c>
      <c r="H163" s="1">
        <f>D163+MIN(E163+F163,1)</f>
        <v>0</v>
      </c>
      <c r="I163" s="1">
        <f>IF(H163&gt;=4, 1, 0)</f>
        <v>0</v>
      </c>
      <c r="J163" s="1">
        <f>IF(G163&gt;=9, 1, 0)</f>
        <v>0</v>
      </c>
      <c r="K163" s="1">
        <f>IF(G163&gt;=11, 1, 0)</f>
        <v>0</v>
      </c>
      <c r="L163" s="1">
        <f>IF(K163+I163&gt;=2, 1, 0)</f>
        <v>0</v>
      </c>
      <c r="M163" s="1">
        <f>IF(J163+I163&gt;=2, 1, 0)</f>
        <v>0</v>
      </c>
      <c r="N163" s="1">
        <f>SUM(L163:M163)</f>
        <v>0</v>
      </c>
    </row>
    <row r="164" spans="1:14">
      <c r="A164" s="1" t="s">
        <v>224</v>
      </c>
      <c r="B164" s="1" t="s">
        <v>225</v>
      </c>
      <c r="C164" s="1">
        <v>0</v>
      </c>
      <c r="D164" s="1">
        <v>0</v>
      </c>
      <c r="E164" s="1">
        <v>0</v>
      </c>
      <c r="G164" s="1">
        <f>C164+D164+MIN(E164,4)+F164</f>
        <v>0</v>
      </c>
      <c r="H164" s="1">
        <f>D164+MIN(E164+F164,1)</f>
        <v>0</v>
      </c>
      <c r="I164" s="1">
        <f>IF(H164&gt;=4, 1, 0)</f>
        <v>0</v>
      </c>
      <c r="J164" s="1">
        <f>IF(G164&gt;=9, 1, 0)</f>
        <v>0</v>
      </c>
      <c r="K164" s="1">
        <f>IF(G164&gt;=11, 1, 0)</f>
        <v>0</v>
      </c>
      <c r="L164" s="1">
        <f>IF(K164+I164&gt;=2, 1, 0)</f>
        <v>0</v>
      </c>
      <c r="M164" s="1">
        <f>IF(J164+I164&gt;=2, 1, 0)</f>
        <v>0</v>
      </c>
      <c r="N164" s="1">
        <f>SUM(L164:M164)</f>
        <v>0</v>
      </c>
    </row>
    <row r="165" spans="1:14">
      <c r="A165" s="1" t="s">
        <v>226</v>
      </c>
      <c r="B165" s="1" t="s">
        <v>227</v>
      </c>
      <c r="C165" s="1">
        <v>0</v>
      </c>
      <c r="D165" s="1">
        <v>0</v>
      </c>
      <c r="E165" s="1">
        <v>0</v>
      </c>
      <c r="G165" s="1">
        <f>C165+D165+MIN(E165,4)+F165</f>
        <v>0</v>
      </c>
      <c r="H165" s="1">
        <f>D165+MIN(E165+F165,1)</f>
        <v>0</v>
      </c>
      <c r="I165" s="1">
        <f>IF(H165&gt;=4, 1, 0)</f>
        <v>0</v>
      </c>
      <c r="J165" s="1">
        <f>IF(G165&gt;=9, 1, 0)</f>
        <v>0</v>
      </c>
      <c r="K165" s="1">
        <f>IF(G165&gt;=11, 1, 0)</f>
        <v>0</v>
      </c>
      <c r="L165" s="1">
        <f>IF(K165+I165&gt;=2, 1, 0)</f>
        <v>0</v>
      </c>
      <c r="M165" s="1">
        <f>IF(J165+I165&gt;=2, 1, 0)</f>
        <v>0</v>
      </c>
      <c r="N165" s="1">
        <f>SUM(L165:M165)</f>
        <v>0</v>
      </c>
    </row>
    <row r="166" spans="1:14">
      <c r="A166" s="1" t="s">
        <v>228</v>
      </c>
      <c r="B166" s="1" t="s">
        <v>229</v>
      </c>
      <c r="C166" s="1">
        <v>0</v>
      </c>
      <c r="D166" s="1">
        <v>0</v>
      </c>
      <c r="E166" s="1">
        <v>0</v>
      </c>
      <c r="G166" s="1">
        <f>C166+D166+MIN(E166,4)+F166</f>
        <v>0</v>
      </c>
      <c r="H166" s="1">
        <f>D166+MIN(E166+F166,1)</f>
        <v>0</v>
      </c>
      <c r="I166" s="1">
        <f>IF(H166&gt;=4, 1, 0)</f>
        <v>0</v>
      </c>
      <c r="J166" s="1">
        <f>IF(G166&gt;=9, 1, 0)</f>
        <v>0</v>
      </c>
      <c r="K166" s="1">
        <f>IF(G166&gt;=11, 1, 0)</f>
        <v>0</v>
      </c>
      <c r="L166" s="1">
        <f>IF(K166+I166&gt;=2, 1, 0)</f>
        <v>0</v>
      </c>
      <c r="M166" s="1">
        <f>IF(J166+I166&gt;=2, 1, 0)</f>
        <v>0</v>
      </c>
      <c r="N166" s="1">
        <f>SUM(L166:M166)</f>
        <v>0</v>
      </c>
    </row>
    <row r="167" spans="1:14">
      <c r="A167" s="1" t="s">
        <v>230</v>
      </c>
      <c r="B167" s="1" t="s">
        <v>231</v>
      </c>
      <c r="C167" s="1">
        <v>0</v>
      </c>
      <c r="D167" s="1">
        <v>0</v>
      </c>
      <c r="E167" s="1">
        <v>0</v>
      </c>
      <c r="G167" s="1">
        <f>C167+D167+MIN(E167,4)+F167</f>
        <v>0</v>
      </c>
      <c r="H167" s="1">
        <f>D167+MIN(E167+F167,1)</f>
        <v>0</v>
      </c>
      <c r="I167" s="1">
        <f>IF(H167&gt;=4, 1, 0)</f>
        <v>0</v>
      </c>
      <c r="J167" s="1">
        <f>IF(G167&gt;=9, 1, 0)</f>
        <v>0</v>
      </c>
      <c r="K167" s="1">
        <f>IF(G167&gt;=11, 1, 0)</f>
        <v>0</v>
      </c>
      <c r="L167" s="1">
        <f>IF(K167+I167&gt;=2, 1, 0)</f>
        <v>0</v>
      </c>
      <c r="M167" s="1">
        <f>IF(J167+I167&gt;=2, 1, 0)</f>
        <v>0</v>
      </c>
      <c r="N167" s="1">
        <f>SUM(L167:M167)</f>
        <v>0</v>
      </c>
    </row>
    <row r="168" spans="1:14">
      <c r="A168" s="1" t="s">
        <v>232</v>
      </c>
      <c r="B168" s="1" t="s">
        <v>233</v>
      </c>
      <c r="C168" s="1">
        <v>0</v>
      </c>
      <c r="D168" s="1">
        <v>0</v>
      </c>
      <c r="E168" s="1">
        <v>0</v>
      </c>
      <c r="G168" s="1">
        <f>C168+D168+MIN(E168,4)+F168</f>
        <v>0</v>
      </c>
      <c r="H168" s="1">
        <f>D168+MIN(E168+F168,1)</f>
        <v>0</v>
      </c>
      <c r="I168" s="1">
        <f>IF(H168&gt;=4, 1, 0)</f>
        <v>0</v>
      </c>
      <c r="J168" s="1">
        <f>IF(G168&gt;=9, 1, 0)</f>
        <v>0</v>
      </c>
      <c r="K168" s="1">
        <f>IF(G168&gt;=11, 1, 0)</f>
        <v>0</v>
      </c>
      <c r="L168" s="1">
        <f>IF(K168+I168&gt;=2, 1, 0)</f>
        <v>0</v>
      </c>
      <c r="M168" s="1">
        <f>IF(J168+I168&gt;=2, 1, 0)</f>
        <v>0</v>
      </c>
      <c r="N168" s="1">
        <f>SUM(L168:M168)</f>
        <v>0</v>
      </c>
    </row>
    <row r="169" spans="1:14">
      <c r="A169" s="1" t="s">
        <v>234</v>
      </c>
      <c r="B169" s="1" t="s">
        <v>235</v>
      </c>
      <c r="C169" s="1">
        <v>0</v>
      </c>
      <c r="D169" s="1">
        <v>0</v>
      </c>
      <c r="E169" s="1">
        <v>0</v>
      </c>
      <c r="G169" s="1">
        <f>C169+D169+MIN(E169,4)+F169</f>
        <v>0</v>
      </c>
      <c r="H169" s="1">
        <f>D169+MIN(E169+F169,1)</f>
        <v>0</v>
      </c>
      <c r="I169" s="1">
        <f>IF(H169&gt;=4, 1, 0)</f>
        <v>0</v>
      </c>
      <c r="J169" s="1">
        <f>IF(G169&gt;=9, 1, 0)</f>
        <v>0</v>
      </c>
      <c r="K169" s="1">
        <f>IF(G169&gt;=11, 1, 0)</f>
        <v>0</v>
      </c>
      <c r="L169" s="1">
        <f>IF(K169+I169&gt;=2, 1, 0)</f>
        <v>0</v>
      </c>
      <c r="M169" s="1">
        <f>IF(J169+I169&gt;=2, 1, 0)</f>
        <v>0</v>
      </c>
      <c r="N169" s="1">
        <f>SUM(L169:M169)</f>
        <v>0</v>
      </c>
    </row>
    <row r="170" spans="1:14">
      <c r="A170" s="1" t="s">
        <v>236</v>
      </c>
      <c r="B170" s="1" t="s">
        <v>237</v>
      </c>
      <c r="C170" s="1">
        <v>0</v>
      </c>
      <c r="D170" s="1">
        <v>0</v>
      </c>
      <c r="E170" s="1">
        <v>0</v>
      </c>
      <c r="G170" s="1">
        <f>C170+D170+MIN(E170,4)+F170</f>
        <v>0</v>
      </c>
      <c r="H170" s="1">
        <f>D170+MIN(E170+F170,1)</f>
        <v>0</v>
      </c>
      <c r="I170" s="1">
        <f>IF(H170&gt;=4, 1, 0)</f>
        <v>0</v>
      </c>
      <c r="J170" s="1">
        <f>IF(G170&gt;=9, 1, 0)</f>
        <v>0</v>
      </c>
      <c r="K170" s="1">
        <f>IF(G170&gt;=11, 1, 0)</f>
        <v>0</v>
      </c>
      <c r="L170" s="1">
        <f>IF(K170+I170&gt;=2, 1, 0)</f>
        <v>0</v>
      </c>
      <c r="M170" s="1">
        <f>IF(J170+I170&gt;=2, 1, 0)</f>
        <v>0</v>
      </c>
      <c r="N170" s="1">
        <f>SUM(L170:M170)</f>
        <v>0</v>
      </c>
    </row>
    <row r="171" spans="1:14">
      <c r="A171" s="1" t="s">
        <v>238</v>
      </c>
      <c r="B171" s="1" t="s">
        <v>239</v>
      </c>
      <c r="C171" s="1">
        <v>0</v>
      </c>
      <c r="D171" s="1">
        <v>0</v>
      </c>
      <c r="E171" s="1">
        <v>0</v>
      </c>
      <c r="G171" s="1">
        <f>C171+D171+MIN(E171,4)+F171</f>
        <v>0</v>
      </c>
      <c r="H171" s="1">
        <f>D171+MIN(E171+F171,1)</f>
        <v>0</v>
      </c>
      <c r="I171" s="1">
        <f>IF(H171&gt;=4, 1, 0)</f>
        <v>0</v>
      </c>
      <c r="J171" s="1">
        <f>IF(G171&gt;=9, 1, 0)</f>
        <v>0</v>
      </c>
      <c r="K171" s="1">
        <f>IF(G171&gt;=11, 1, 0)</f>
        <v>0</v>
      </c>
      <c r="L171" s="1">
        <f>IF(K171+I171&gt;=2, 1, 0)</f>
        <v>0</v>
      </c>
      <c r="M171" s="1">
        <f>IF(J171+I171&gt;=2, 1, 0)</f>
        <v>0</v>
      </c>
      <c r="N171" s="1">
        <f>SUM(L171:M171)</f>
        <v>0</v>
      </c>
    </row>
    <row r="172" spans="1:14">
      <c r="A172" s="1" t="s">
        <v>240</v>
      </c>
      <c r="B172" s="1" t="s">
        <v>241</v>
      </c>
      <c r="C172" s="1">
        <v>0</v>
      </c>
      <c r="D172" s="1">
        <v>0</v>
      </c>
      <c r="E172" s="1">
        <v>0</v>
      </c>
      <c r="G172" s="1">
        <f>C172+D172+MIN(E172,4)+F172</f>
        <v>0</v>
      </c>
      <c r="H172" s="1">
        <f>D172+MIN(E172+F172,1)</f>
        <v>0</v>
      </c>
      <c r="I172" s="1">
        <f>IF(H172&gt;=4, 1, 0)</f>
        <v>0</v>
      </c>
      <c r="J172" s="1">
        <f>IF(G172&gt;=9, 1, 0)</f>
        <v>0</v>
      </c>
      <c r="K172" s="1">
        <f>IF(G172&gt;=11, 1, 0)</f>
        <v>0</v>
      </c>
      <c r="L172" s="1">
        <f>IF(K172+I172&gt;=2, 1, 0)</f>
        <v>0</v>
      </c>
      <c r="M172" s="1">
        <f>IF(J172+I172&gt;=2, 1, 0)</f>
        <v>0</v>
      </c>
      <c r="N172" s="1">
        <f>SUM(L172:M172)</f>
        <v>0</v>
      </c>
    </row>
    <row r="173" spans="1:14">
      <c r="A173" s="1" t="s">
        <v>242</v>
      </c>
      <c r="B173" s="1" t="s">
        <v>242</v>
      </c>
      <c r="C173" s="1">
        <v>0</v>
      </c>
      <c r="D173" s="1">
        <v>0</v>
      </c>
      <c r="E173" s="1">
        <v>0</v>
      </c>
      <c r="G173" s="1">
        <f>C173+D173+MIN(E173,4)+F173</f>
        <v>0</v>
      </c>
      <c r="H173" s="1">
        <f>D173+MIN(E173+F173,1)</f>
        <v>0</v>
      </c>
      <c r="I173" s="1">
        <f>IF(H173&gt;=4, 1, 0)</f>
        <v>0</v>
      </c>
      <c r="J173" s="1">
        <f>IF(G173&gt;=9, 1, 0)</f>
        <v>0</v>
      </c>
      <c r="K173" s="1">
        <f>IF(G173&gt;=11, 1, 0)</f>
        <v>0</v>
      </c>
      <c r="L173" s="1">
        <f>IF(K173+I173&gt;=2, 1, 0)</f>
        <v>0</v>
      </c>
      <c r="M173" s="1">
        <f>IF(J173+I173&gt;=2, 1, 0)</f>
        <v>0</v>
      </c>
      <c r="N173" s="1">
        <f>SUM(L173:M173)</f>
        <v>0</v>
      </c>
    </row>
  </sheetData>
  <sortState xmlns:xlrd2="http://schemas.microsoft.com/office/spreadsheetml/2017/richdata2" ref="A2:N173">
    <sortCondition descending="1" ref="G5:G173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pkuzhd@pku.edu.cn</dc:creator>
  <cp:lastModifiedBy>pkuzhd@pku.edu.cn</cp:lastModifiedBy>
  <dcterms:created xsi:type="dcterms:W3CDTF">2024-04-23T01:48:47Z</dcterms:created>
  <dcterms:modified xsi:type="dcterms:W3CDTF">2024-04-26T04:50:44Z</dcterms:modified>
</cp:coreProperties>
</file>