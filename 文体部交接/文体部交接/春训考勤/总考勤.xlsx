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haodan/Desktop/春训考勤/"/>
    </mc:Choice>
  </mc:AlternateContent>
  <xr:revisionPtr revIDLastSave="0" documentId="13_ncr:1_{68B37D28-525E-7B49-AFD7-5A9E499CF909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考勤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" i="1" l="1"/>
  <c r="L61" i="1"/>
  <c r="R61" i="1"/>
  <c r="C61" i="1" s="1"/>
  <c r="U61" i="1"/>
  <c r="K20" i="1"/>
  <c r="K67" i="1"/>
  <c r="K3" i="1"/>
  <c r="K5" i="1"/>
  <c r="K9" i="1"/>
  <c r="K7" i="1"/>
  <c r="K4" i="1"/>
  <c r="K23" i="1"/>
  <c r="K24" i="1"/>
  <c r="K25" i="1"/>
  <c r="K10" i="1"/>
  <c r="K6" i="1"/>
  <c r="K14" i="1"/>
  <c r="K26" i="1"/>
  <c r="K13" i="1"/>
  <c r="K8" i="1"/>
  <c r="K19" i="1"/>
  <c r="K11" i="1"/>
  <c r="K15" i="1"/>
  <c r="K12" i="1"/>
  <c r="K16" i="1"/>
  <c r="K38" i="1"/>
  <c r="K17" i="1"/>
  <c r="K66" i="1"/>
  <c r="K27" i="1"/>
  <c r="K22" i="1"/>
  <c r="K37" i="1"/>
  <c r="K18" i="1"/>
  <c r="K46" i="1"/>
  <c r="K30" i="1"/>
  <c r="K55" i="1"/>
  <c r="K31" i="1"/>
  <c r="K68" i="1"/>
  <c r="K21" i="1"/>
  <c r="K28" i="1"/>
  <c r="K47" i="1"/>
  <c r="K42" i="1"/>
  <c r="K45" i="1"/>
  <c r="K48" i="1"/>
  <c r="K56" i="1"/>
  <c r="K49" i="1"/>
  <c r="K32" i="1"/>
  <c r="K69" i="1"/>
  <c r="K43" i="1"/>
  <c r="K29" i="1"/>
  <c r="K50" i="1"/>
  <c r="K39" i="1"/>
  <c r="K51" i="1"/>
  <c r="K52" i="1"/>
  <c r="K40" i="1"/>
  <c r="K33" i="1"/>
  <c r="K57" i="1"/>
  <c r="K44" i="1"/>
  <c r="K34" i="1"/>
  <c r="K53" i="1"/>
  <c r="K54" i="1"/>
  <c r="K58" i="1"/>
  <c r="K59" i="1"/>
  <c r="K41" i="1"/>
  <c r="K35" i="1"/>
  <c r="K70" i="1"/>
  <c r="K36" i="1"/>
  <c r="K71" i="1"/>
  <c r="K62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63" i="1"/>
  <c r="K97" i="1"/>
  <c r="K64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65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" i="1"/>
  <c r="U251" i="1"/>
  <c r="U252" i="1"/>
  <c r="L251" i="1"/>
  <c r="R251" i="1" s="1"/>
  <c r="C251" i="1" s="1"/>
  <c r="L252" i="1"/>
  <c r="R252" i="1" s="1"/>
  <c r="C252" i="1" s="1"/>
  <c r="L212" i="1"/>
  <c r="R212" i="1" s="1"/>
  <c r="C212" i="1" s="1"/>
  <c r="L179" i="1"/>
  <c r="R179" i="1" s="1"/>
  <c r="C179" i="1" s="1"/>
  <c r="L183" i="1"/>
  <c r="R183" i="1" s="1"/>
  <c r="C183" i="1" s="1"/>
  <c r="U3" i="1"/>
  <c r="U5" i="1"/>
  <c r="U9" i="1"/>
  <c r="U4" i="1"/>
  <c r="U7" i="1"/>
  <c r="U10" i="1"/>
  <c r="U25" i="1"/>
  <c r="U24" i="1"/>
  <c r="U23" i="1"/>
  <c r="U6" i="1"/>
  <c r="U8" i="1"/>
  <c r="U13" i="1"/>
  <c r="U26" i="1"/>
  <c r="U14" i="1"/>
  <c r="U17" i="1"/>
  <c r="U38" i="1"/>
  <c r="U16" i="1"/>
  <c r="U12" i="1"/>
  <c r="U15" i="1"/>
  <c r="U11" i="1"/>
  <c r="U19" i="1"/>
  <c r="U66" i="1"/>
  <c r="U46" i="1"/>
  <c r="U18" i="1"/>
  <c r="U20" i="1"/>
  <c r="U67" i="1"/>
  <c r="U37" i="1"/>
  <c r="U22" i="1"/>
  <c r="U27" i="1"/>
  <c r="U31" i="1"/>
  <c r="U55" i="1"/>
  <c r="U30" i="1"/>
  <c r="U39" i="1"/>
  <c r="U50" i="1"/>
  <c r="U29" i="1"/>
  <c r="U43" i="1"/>
  <c r="U69" i="1"/>
  <c r="U32" i="1"/>
  <c r="U49" i="1"/>
  <c r="U56" i="1"/>
  <c r="U48" i="1"/>
  <c r="U45" i="1"/>
  <c r="U42" i="1"/>
  <c r="U47" i="1"/>
  <c r="U28" i="1"/>
  <c r="U21" i="1"/>
  <c r="U68" i="1"/>
  <c r="U44" i="1"/>
  <c r="U57" i="1"/>
  <c r="U33" i="1"/>
  <c r="U40" i="1"/>
  <c r="U52" i="1"/>
  <c r="U51" i="1"/>
  <c r="U36" i="1"/>
  <c r="U70" i="1"/>
  <c r="U71" i="1"/>
  <c r="U35" i="1"/>
  <c r="U41" i="1"/>
  <c r="U59" i="1"/>
  <c r="U58" i="1"/>
  <c r="U54" i="1"/>
  <c r="U53" i="1"/>
  <c r="U34" i="1"/>
  <c r="U72" i="1"/>
  <c r="U62" i="1"/>
  <c r="U74" i="1"/>
  <c r="U73" i="1"/>
  <c r="U76" i="1"/>
  <c r="U75" i="1"/>
  <c r="U80" i="1"/>
  <c r="U79" i="1"/>
  <c r="U78" i="1"/>
  <c r="U77" i="1"/>
  <c r="U84" i="1"/>
  <c r="U83" i="1"/>
  <c r="U82" i="1"/>
  <c r="U81" i="1"/>
  <c r="U85" i="1"/>
  <c r="U94" i="1"/>
  <c r="U93" i="1"/>
  <c r="U92" i="1"/>
  <c r="U91" i="1"/>
  <c r="U90" i="1"/>
  <c r="U89" i="1"/>
  <c r="U88" i="1"/>
  <c r="U87" i="1"/>
  <c r="U86" i="1"/>
  <c r="U95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64" i="1"/>
  <c r="U97" i="1"/>
  <c r="U63" i="1"/>
  <c r="U96" i="1"/>
  <c r="U11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60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65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2" i="1"/>
  <c r="U181" i="1"/>
  <c r="U180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2" i="1"/>
  <c r="L3" i="1"/>
  <c r="R3" i="1" s="1"/>
  <c r="C3" i="1" s="1"/>
  <c r="L5" i="1"/>
  <c r="R5" i="1" s="1"/>
  <c r="C5" i="1" s="1"/>
  <c r="L9" i="1"/>
  <c r="R9" i="1" s="1"/>
  <c r="C9" i="1" s="1"/>
  <c r="L4" i="1"/>
  <c r="R4" i="1" s="1"/>
  <c r="C4" i="1" s="1"/>
  <c r="L7" i="1"/>
  <c r="R7" i="1" s="1"/>
  <c r="C7" i="1" s="1"/>
  <c r="L25" i="1"/>
  <c r="R25" i="1" s="1"/>
  <c r="C25" i="1" s="1"/>
  <c r="L10" i="1"/>
  <c r="R10" i="1" s="1"/>
  <c r="C10" i="1" s="1"/>
  <c r="L23" i="1"/>
  <c r="R23" i="1" s="1"/>
  <c r="C23" i="1" s="1"/>
  <c r="L24" i="1"/>
  <c r="R24" i="1" s="1"/>
  <c r="C24" i="1" s="1"/>
  <c r="L6" i="1"/>
  <c r="R6" i="1" s="1"/>
  <c r="C6" i="1" s="1"/>
  <c r="L13" i="1"/>
  <c r="R13" i="1" s="1"/>
  <c r="C13" i="1" s="1"/>
  <c r="L8" i="1"/>
  <c r="R8" i="1" s="1"/>
  <c r="C8" i="1" s="1"/>
  <c r="L26" i="1"/>
  <c r="R26" i="1" s="1"/>
  <c r="C26" i="1" s="1"/>
  <c r="L14" i="1"/>
  <c r="R14" i="1" s="1"/>
  <c r="C14" i="1" s="1"/>
  <c r="L15" i="1"/>
  <c r="R15" i="1" s="1"/>
  <c r="C15" i="1" s="1"/>
  <c r="L19" i="1"/>
  <c r="R19" i="1" s="1"/>
  <c r="C19" i="1" s="1"/>
  <c r="L17" i="1"/>
  <c r="R17" i="1" s="1"/>
  <c r="C17" i="1" s="1"/>
  <c r="L11" i="1"/>
  <c r="R11" i="1" s="1"/>
  <c r="C11" i="1" s="1"/>
  <c r="L12" i="1"/>
  <c r="R12" i="1" s="1"/>
  <c r="C12" i="1" s="1"/>
  <c r="L16" i="1"/>
  <c r="R16" i="1" s="1"/>
  <c r="C16" i="1" s="1"/>
  <c r="L38" i="1"/>
  <c r="R38" i="1" s="1"/>
  <c r="C38" i="1" s="1"/>
  <c r="L66" i="1"/>
  <c r="R66" i="1" s="1"/>
  <c r="C66" i="1" s="1"/>
  <c r="L27" i="1"/>
  <c r="R27" i="1" s="1"/>
  <c r="C27" i="1" s="1"/>
  <c r="L18" i="1"/>
  <c r="R18" i="1" s="1"/>
  <c r="C18" i="1" s="1"/>
  <c r="L67" i="1"/>
  <c r="R67" i="1" s="1"/>
  <c r="C67" i="1" s="1"/>
  <c r="L22" i="1"/>
  <c r="R22" i="1" s="1"/>
  <c r="C22" i="1" s="1"/>
  <c r="L20" i="1"/>
  <c r="R20" i="1" s="1"/>
  <c r="C20" i="1" s="1"/>
  <c r="L37" i="1"/>
  <c r="R37" i="1" s="1"/>
  <c r="C37" i="1" s="1"/>
  <c r="L46" i="1"/>
  <c r="R46" i="1" s="1"/>
  <c r="C46" i="1" s="1"/>
  <c r="L30" i="1"/>
  <c r="R30" i="1" s="1"/>
  <c r="C30" i="1" s="1"/>
  <c r="L31" i="1"/>
  <c r="R31" i="1" s="1"/>
  <c r="C31" i="1" s="1"/>
  <c r="L55" i="1"/>
  <c r="R55" i="1" s="1"/>
  <c r="C55" i="1" s="1"/>
  <c r="L50" i="1"/>
  <c r="R50" i="1" s="1"/>
  <c r="C50" i="1" s="1"/>
  <c r="L42" i="1"/>
  <c r="R42" i="1" s="1"/>
  <c r="C42" i="1" s="1"/>
  <c r="L43" i="1"/>
  <c r="R43" i="1" s="1"/>
  <c r="C43" i="1" s="1"/>
  <c r="L28" i="1"/>
  <c r="R28" i="1" s="1"/>
  <c r="C28" i="1" s="1"/>
  <c r="L68" i="1"/>
  <c r="R68" i="1" s="1"/>
  <c r="C68" i="1" s="1"/>
  <c r="L47" i="1"/>
  <c r="R47" i="1" s="1"/>
  <c r="C47" i="1" s="1"/>
  <c r="L32" i="1"/>
  <c r="R32" i="1" s="1"/>
  <c r="C32" i="1" s="1"/>
  <c r="L29" i="1"/>
  <c r="R29" i="1" s="1"/>
  <c r="C29" i="1" s="1"/>
  <c r="L21" i="1"/>
  <c r="R21" i="1" s="1"/>
  <c r="C21" i="1" s="1"/>
  <c r="L48" i="1"/>
  <c r="R48" i="1" s="1"/>
  <c r="C48" i="1" s="1"/>
  <c r="L69" i="1"/>
  <c r="R69" i="1" s="1"/>
  <c r="C69" i="1" s="1"/>
  <c r="L49" i="1"/>
  <c r="R49" i="1" s="1"/>
  <c r="C49" i="1" s="1"/>
  <c r="L39" i="1"/>
  <c r="R39" i="1" s="1"/>
  <c r="C39" i="1" s="1"/>
  <c r="L45" i="1"/>
  <c r="R45" i="1" s="1"/>
  <c r="C45" i="1" s="1"/>
  <c r="L56" i="1"/>
  <c r="R56" i="1" s="1"/>
  <c r="C56" i="1" s="1"/>
  <c r="L33" i="1"/>
  <c r="R33" i="1" s="1"/>
  <c r="C33" i="1" s="1"/>
  <c r="L40" i="1"/>
  <c r="R40" i="1" s="1"/>
  <c r="C40" i="1" s="1"/>
  <c r="L51" i="1"/>
  <c r="R51" i="1" s="1"/>
  <c r="C51" i="1" s="1"/>
  <c r="L57" i="1"/>
  <c r="R57" i="1" s="1"/>
  <c r="C57" i="1" s="1"/>
  <c r="L52" i="1"/>
  <c r="R52" i="1" s="1"/>
  <c r="C52" i="1" s="1"/>
  <c r="L44" i="1"/>
  <c r="R44" i="1" s="1"/>
  <c r="C44" i="1" s="1"/>
  <c r="L53" i="1"/>
  <c r="R53" i="1" s="1"/>
  <c r="C53" i="1" s="1"/>
  <c r="L34" i="1"/>
  <c r="R34" i="1" s="1"/>
  <c r="C34" i="1" s="1"/>
  <c r="L41" i="1"/>
  <c r="R41" i="1" s="1"/>
  <c r="C41" i="1" s="1"/>
  <c r="L70" i="1"/>
  <c r="R70" i="1" s="1"/>
  <c r="C70" i="1" s="1"/>
  <c r="L36" i="1"/>
  <c r="R36" i="1" s="1"/>
  <c r="C36" i="1" s="1"/>
  <c r="L35" i="1"/>
  <c r="R35" i="1" s="1"/>
  <c r="C35" i="1" s="1"/>
  <c r="L54" i="1"/>
  <c r="R54" i="1" s="1"/>
  <c r="C54" i="1" s="1"/>
  <c r="L59" i="1"/>
  <c r="R59" i="1" s="1"/>
  <c r="C59" i="1" s="1"/>
  <c r="L58" i="1"/>
  <c r="R58" i="1" s="1"/>
  <c r="C58" i="1" s="1"/>
  <c r="L71" i="1"/>
  <c r="R71" i="1" s="1"/>
  <c r="C71" i="1" s="1"/>
  <c r="L62" i="1"/>
  <c r="R62" i="1" s="1"/>
  <c r="C62" i="1" s="1"/>
  <c r="L72" i="1"/>
  <c r="R72" i="1" s="1"/>
  <c r="C72" i="1" s="1"/>
  <c r="L74" i="1"/>
  <c r="R74" i="1" s="1"/>
  <c r="C74" i="1" s="1"/>
  <c r="L73" i="1"/>
  <c r="R73" i="1" s="1"/>
  <c r="C73" i="1" s="1"/>
  <c r="L75" i="1"/>
  <c r="R75" i="1" s="1"/>
  <c r="C75" i="1" s="1"/>
  <c r="L76" i="1"/>
  <c r="R76" i="1" s="1"/>
  <c r="C76" i="1" s="1"/>
  <c r="L77" i="1"/>
  <c r="R77" i="1" s="1"/>
  <c r="C77" i="1" s="1"/>
  <c r="L78" i="1"/>
  <c r="R78" i="1" s="1"/>
  <c r="C78" i="1" s="1"/>
  <c r="L79" i="1"/>
  <c r="R79" i="1" s="1"/>
  <c r="C79" i="1" s="1"/>
  <c r="L80" i="1"/>
  <c r="R80" i="1" s="1"/>
  <c r="C80" i="1" s="1"/>
  <c r="L82" i="1"/>
  <c r="R82" i="1" s="1"/>
  <c r="C82" i="1" s="1"/>
  <c r="L84" i="1"/>
  <c r="R84" i="1" s="1"/>
  <c r="C84" i="1" s="1"/>
  <c r="L81" i="1"/>
  <c r="R81" i="1" s="1"/>
  <c r="C81" i="1" s="1"/>
  <c r="L83" i="1"/>
  <c r="R83" i="1" s="1"/>
  <c r="C83" i="1" s="1"/>
  <c r="L85" i="1"/>
  <c r="R85" i="1" s="1"/>
  <c r="C85" i="1" s="1"/>
  <c r="L94" i="1"/>
  <c r="R94" i="1" s="1"/>
  <c r="C94" i="1" s="1"/>
  <c r="L86" i="1"/>
  <c r="R86" i="1" s="1"/>
  <c r="C86" i="1" s="1"/>
  <c r="L93" i="1"/>
  <c r="R93" i="1" s="1"/>
  <c r="C93" i="1" s="1"/>
  <c r="L90" i="1"/>
  <c r="R90" i="1" s="1"/>
  <c r="C90" i="1" s="1"/>
  <c r="L92" i="1"/>
  <c r="R92" i="1" s="1"/>
  <c r="C92" i="1" s="1"/>
  <c r="L89" i="1"/>
  <c r="R89" i="1" s="1"/>
  <c r="C89" i="1" s="1"/>
  <c r="L88" i="1"/>
  <c r="R88" i="1" s="1"/>
  <c r="C88" i="1" s="1"/>
  <c r="L91" i="1"/>
  <c r="R91" i="1" s="1"/>
  <c r="C91" i="1" s="1"/>
  <c r="L87" i="1"/>
  <c r="R87" i="1" s="1"/>
  <c r="C87" i="1" s="1"/>
  <c r="L95" i="1"/>
  <c r="R95" i="1" s="1"/>
  <c r="C95" i="1" s="1"/>
  <c r="L63" i="1"/>
  <c r="R63" i="1" s="1"/>
  <c r="C63" i="1" s="1"/>
  <c r="L104" i="1"/>
  <c r="R104" i="1" s="1"/>
  <c r="C104" i="1" s="1"/>
  <c r="L96" i="1"/>
  <c r="R96" i="1" s="1"/>
  <c r="C96" i="1" s="1"/>
  <c r="L107" i="1"/>
  <c r="R107" i="1" s="1"/>
  <c r="C107" i="1" s="1"/>
  <c r="L106" i="1"/>
  <c r="R106" i="1" s="1"/>
  <c r="C106" i="1" s="1"/>
  <c r="L109" i="1"/>
  <c r="R109" i="1" s="1"/>
  <c r="C109" i="1" s="1"/>
  <c r="L105" i="1"/>
  <c r="R105" i="1" s="1"/>
  <c r="C105" i="1" s="1"/>
  <c r="L101" i="1"/>
  <c r="R101" i="1" s="1"/>
  <c r="C101" i="1" s="1"/>
  <c r="L97" i="1"/>
  <c r="R97" i="1" s="1"/>
  <c r="C97" i="1" s="1"/>
  <c r="L64" i="1"/>
  <c r="R64" i="1" s="1"/>
  <c r="C64" i="1" s="1"/>
  <c r="L102" i="1"/>
  <c r="R102" i="1" s="1"/>
  <c r="C102" i="1" s="1"/>
  <c r="L108" i="1"/>
  <c r="R108" i="1" s="1"/>
  <c r="C108" i="1" s="1"/>
  <c r="L98" i="1"/>
  <c r="R98" i="1" s="1"/>
  <c r="C98" i="1" s="1"/>
  <c r="L99" i="1"/>
  <c r="R99" i="1" s="1"/>
  <c r="C99" i="1" s="1"/>
  <c r="L103" i="1"/>
  <c r="R103" i="1" s="1"/>
  <c r="C103" i="1" s="1"/>
  <c r="L100" i="1"/>
  <c r="R100" i="1" s="1"/>
  <c r="C100" i="1" s="1"/>
  <c r="L110" i="1"/>
  <c r="R110" i="1" s="1"/>
  <c r="C110" i="1" s="1"/>
  <c r="L114" i="1"/>
  <c r="R114" i="1" s="1"/>
  <c r="C114" i="1" s="1"/>
  <c r="L121" i="1"/>
  <c r="R121" i="1" s="1"/>
  <c r="C121" i="1" s="1"/>
  <c r="L136" i="1"/>
  <c r="R136" i="1" s="1"/>
  <c r="C136" i="1" s="1"/>
  <c r="L142" i="1"/>
  <c r="R142" i="1" s="1"/>
  <c r="C142" i="1" s="1"/>
  <c r="L155" i="1"/>
  <c r="R155" i="1" s="1"/>
  <c r="C155" i="1" s="1"/>
  <c r="L120" i="1"/>
  <c r="R120" i="1" s="1"/>
  <c r="C120" i="1" s="1"/>
  <c r="L127" i="1"/>
  <c r="R127" i="1" s="1"/>
  <c r="C127" i="1" s="1"/>
  <c r="L143" i="1"/>
  <c r="R143" i="1" s="1"/>
  <c r="C143" i="1" s="1"/>
  <c r="L113" i="1"/>
  <c r="R113" i="1" s="1"/>
  <c r="C113" i="1" s="1"/>
  <c r="L112" i="1"/>
  <c r="R112" i="1" s="1"/>
  <c r="C112" i="1" s="1"/>
  <c r="L128" i="1"/>
  <c r="R128" i="1" s="1"/>
  <c r="C128" i="1" s="1"/>
  <c r="L140" i="1"/>
  <c r="R140" i="1" s="1"/>
  <c r="C140" i="1" s="1"/>
  <c r="L145" i="1"/>
  <c r="R145" i="1" s="1"/>
  <c r="C145" i="1" s="1"/>
  <c r="L133" i="1"/>
  <c r="R133" i="1" s="1"/>
  <c r="C133" i="1" s="1"/>
  <c r="L131" i="1"/>
  <c r="R131" i="1" s="1"/>
  <c r="C131" i="1" s="1"/>
  <c r="L130" i="1"/>
  <c r="R130" i="1" s="1"/>
  <c r="C130" i="1" s="1"/>
  <c r="L124" i="1"/>
  <c r="R124" i="1" s="1"/>
  <c r="C124" i="1" s="1"/>
  <c r="L122" i="1"/>
  <c r="R122" i="1" s="1"/>
  <c r="C122" i="1" s="1"/>
  <c r="L119" i="1"/>
  <c r="R119" i="1" s="1"/>
  <c r="C119" i="1" s="1"/>
  <c r="L115" i="1"/>
  <c r="R115" i="1" s="1"/>
  <c r="C115" i="1" s="1"/>
  <c r="L129" i="1"/>
  <c r="R129" i="1" s="1"/>
  <c r="C129" i="1" s="1"/>
  <c r="L150" i="1"/>
  <c r="R150" i="1" s="1"/>
  <c r="C150" i="1" s="1"/>
  <c r="L156" i="1"/>
  <c r="R156" i="1" s="1"/>
  <c r="C156" i="1" s="1"/>
  <c r="L151" i="1"/>
  <c r="R151" i="1" s="1"/>
  <c r="C151" i="1" s="1"/>
  <c r="L116" i="1"/>
  <c r="R116" i="1" s="1"/>
  <c r="C116" i="1" s="1"/>
  <c r="L146" i="1"/>
  <c r="R146" i="1" s="1"/>
  <c r="C146" i="1" s="1"/>
  <c r="L154" i="1"/>
  <c r="R154" i="1" s="1"/>
  <c r="C154" i="1" s="1"/>
  <c r="L159" i="1"/>
  <c r="R159" i="1" s="1"/>
  <c r="C159" i="1" s="1"/>
  <c r="L123" i="1"/>
  <c r="R123" i="1" s="1"/>
  <c r="C123" i="1" s="1"/>
  <c r="L117" i="1"/>
  <c r="R117" i="1" s="1"/>
  <c r="C117" i="1" s="1"/>
  <c r="L144" i="1"/>
  <c r="R144" i="1" s="1"/>
  <c r="C144" i="1" s="1"/>
  <c r="L111" i="1"/>
  <c r="R111" i="1" s="1"/>
  <c r="C111" i="1" s="1"/>
  <c r="L118" i="1"/>
  <c r="R118" i="1" s="1"/>
  <c r="C118" i="1" s="1"/>
  <c r="L132" i="1"/>
  <c r="R132" i="1" s="1"/>
  <c r="C132" i="1" s="1"/>
  <c r="L137" i="1"/>
  <c r="R137" i="1" s="1"/>
  <c r="C137" i="1" s="1"/>
  <c r="L152" i="1"/>
  <c r="R152" i="1" s="1"/>
  <c r="C152" i="1" s="1"/>
  <c r="L153" i="1"/>
  <c r="R153" i="1" s="1"/>
  <c r="C153" i="1" s="1"/>
  <c r="L126" i="1"/>
  <c r="R126" i="1" s="1"/>
  <c r="C126" i="1" s="1"/>
  <c r="L147" i="1"/>
  <c r="R147" i="1" s="1"/>
  <c r="C147" i="1" s="1"/>
  <c r="L134" i="1"/>
  <c r="R134" i="1" s="1"/>
  <c r="C134" i="1" s="1"/>
  <c r="L149" i="1"/>
  <c r="R149" i="1" s="1"/>
  <c r="C149" i="1" s="1"/>
  <c r="L158" i="1"/>
  <c r="R158" i="1" s="1"/>
  <c r="C158" i="1" s="1"/>
  <c r="L135" i="1"/>
  <c r="R135" i="1" s="1"/>
  <c r="C135" i="1" s="1"/>
  <c r="L157" i="1"/>
  <c r="R157" i="1" s="1"/>
  <c r="C157" i="1" s="1"/>
  <c r="L141" i="1"/>
  <c r="R141" i="1" s="1"/>
  <c r="C141" i="1" s="1"/>
  <c r="L125" i="1"/>
  <c r="R125" i="1" s="1"/>
  <c r="C125" i="1" s="1"/>
  <c r="L148" i="1"/>
  <c r="R148" i="1" s="1"/>
  <c r="C148" i="1" s="1"/>
  <c r="L138" i="1"/>
  <c r="R138" i="1" s="1"/>
  <c r="C138" i="1" s="1"/>
  <c r="L139" i="1"/>
  <c r="R139" i="1" s="1"/>
  <c r="C139" i="1" s="1"/>
  <c r="L160" i="1"/>
  <c r="R160" i="1" s="1"/>
  <c r="C160" i="1" s="1"/>
  <c r="L197" i="1"/>
  <c r="R197" i="1" s="1"/>
  <c r="C197" i="1" s="1"/>
  <c r="L163" i="1"/>
  <c r="R163" i="1" s="1"/>
  <c r="C163" i="1" s="1"/>
  <c r="L181" i="1"/>
  <c r="R181" i="1" s="1"/>
  <c r="C181" i="1" s="1"/>
  <c r="L198" i="1"/>
  <c r="R198" i="1" s="1"/>
  <c r="C198" i="1" s="1"/>
  <c r="L232" i="1"/>
  <c r="R232" i="1" s="1"/>
  <c r="C232" i="1" s="1"/>
  <c r="L161" i="1"/>
  <c r="R161" i="1" s="1"/>
  <c r="C161" i="1" s="1"/>
  <c r="L236" i="1"/>
  <c r="R236" i="1" s="1"/>
  <c r="C236" i="1" s="1"/>
  <c r="L221" i="1"/>
  <c r="R221" i="1" s="1"/>
  <c r="C221" i="1" s="1"/>
  <c r="L223" i="1"/>
  <c r="R223" i="1" s="1"/>
  <c r="C223" i="1" s="1"/>
  <c r="L199" i="1"/>
  <c r="R199" i="1" s="1"/>
  <c r="C199" i="1" s="1"/>
  <c r="L174" i="1"/>
  <c r="R174" i="1" s="1"/>
  <c r="C174" i="1" s="1"/>
  <c r="L249" i="1"/>
  <c r="R249" i="1" s="1"/>
  <c r="C249" i="1" s="1"/>
  <c r="L240" i="1"/>
  <c r="R240" i="1" s="1"/>
  <c r="C240" i="1" s="1"/>
  <c r="L218" i="1"/>
  <c r="R218" i="1" s="1"/>
  <c r="C218" i="1" s="1"/>
  <c r="L247" i="1"/>
  <c r="R247" i="1" s="1"/>
  <c r="C247" i="1" s="1"/>
  <c r="L162" i="1"/>
  <c r="R162" i="1" s="1"/>
  <c r="C162" i="1" s="1"/>
  <c r="L166" i="1"/>
  <c r="R166" i="1" s="1"/>
  <c r="C166" i="1" s="1"/>
  <c r="L169" i="1"/>
  <c r="R169" i="1" s="1"/>
  <c r="C169" i="1" s="1"/>
  <c r="L167" i="1"/>
  <c r="R167" i="1" s="1"/>
  <c r="C167" i="1" s="1"/>
  <c r="L171" i="1"/>
  <c r="R171" i="1" s="1"/>
  <c r="C171" i="1" s="1"/>
  <c r="L168" i="1"/>
  <c r="R168" i="1" s="1"/>
  <c r="C168" i="1" s="1"/>
  <c r="L172" i="1"/>
  <c r="R172" i="1" s="1"/>
  <c r="C172" i="1" s="1"/>
  <c r="L173" i="1"/>
  <c r="R173" i="1" s="1"/>
  <c r="C173" i="1" s="1"/>
  <c r="L177" i="1"/>
  <c r="R177" i="1" s="1"/>
  <c r="C177" i="1" s="1"/>
  <c r="L178" i="1"/>
  <c r="R178" i="1" s="1"/>
  <c r="C178" i="1" s="1"/>
  <c r="L180" i="1"/>
  <c r="R180" i="1" s="1"/>
  <c r="C180" i="1" s="1"/>
  <c r="L185" i="1"/>
  <c r="R185" i="1" s="1"/>
  <c r="C185" i="1" s="1"/>
  <c r="L188" i="1"/>
  <c r="R188" i="1" s="1"/>
  <c r="C188" i="1" s="1"/>
  <c r="L189" i="1"/>
  <c r="R189" i="1" s="1"/>
  <c r="C189" i="1" s="1"/>
  <c r="L191" i="1"/>
  <c r="R191" i="1" s="1"/>
  <c r="C191" i="1" s="1"/>
  <c r="L195" i="1"/>
  <c r="R195" i="1" s="1"/>
  <c r="C195" i="1" s="1"/>
  <c r="L196" i="1"/>
  <c r="R196" i="1" s="1"/>
  <c r="C196" i="1" s="1"/>
  <c r="L200" i="1"/>
  <c r="R200" i="1" s="1"/>
  <c r="C200" i="1" s="1"/>
  <c r="L201" i="1"/>
  <c r="R201" i="1" s="1"/>
  <c r="C201" i="1" s="1"/>
  <c r="L203" i="1"/>
  <c r="R203" i="1" s="1"/>
  <c r="C203" i="1" s="1"/>
  <c r="L205" i="1"/>
  <c r="R205" i="1" s="1"/>
  <c r="C205" i="1" s="1"/>
  <c r="L206" i="1"/>
  <c r="R206" i="1" s="1"/>
  <c r="C206" i="1" s="1"/>
  <c r="L207" i="1"/>
  <c r="R207" i="1" s="1"/>
  <c r="C207" i="1" s="1"/>
  <c r="L209" i="1"/>
  <c r="R209" i="1" s="1"/>
  <c r="C209" i="1" s="1"/>
  <c r="L211" i="1"/>
  <c r="R211" i="1" s="1"/>
  <c r="C211" i="1" s="1"/>
  <c r="L215" i="1"/>
  <c r="R215" i="1" s="1"/>
  <c r="C215" i="1" s="1"/>
  <c r="L220" i="1"/>
  <c r="R220" i="1" s="1"/>
  <c r="C220" i="1" s="1"/>
  <c r="L214" i="1"/>
  <c r="R214" i="1" s="1"/>
  <c r="C214" i="1" s="1"/>
  <c r="L222" i="1"/>
  <c r="R222" i="1" s="1"/>
  <c r="C222" i="1" s="1"/>
  <c r="L217" i="1"/>
  <c r="R217" i="1" s="1"/>
  <c r="C217" i="1" s="1"/>
  <c r="L224" i="1"/>
  <c r="R224" i="1" s="1"/>
  <c r="C224" i="1" s="1"/>
  <c r="L227" i="1"/>
  <c r="R227" i="1" s="1"/>
  <c r="C227" i="1" s="1"/>
  <c r="L228" i="1"/>
  <c r="R228" i="1" s="1"/>
  <c r="C228" i="1" s="1"/>
  <c r="L225" i="1"/>
  <c r="R225" i="1" s="1"/>
  <c r="C225" i="1" s="1"/>
  <c r="L226" i="1"/>
  <c r="R226" i="1" s="1"/>
  <c r="C226" i="1" s="1"/>
  <c r="L231" i="1"/>
  <c r="R231" i="1" s="1"/>
  <c r="C231" i="1" s="1"/>
  <c r="L229" i="1"/>
  <c r="R229" i="1" s="1"/>
  <c r="C229" i="1" s="1"/>
  <c r="L233" i="1"/>
  <c r="R233" i="1" s="1"/>
  <c r="C233" i="1" s="1"/>
  <c r="L237" i="1"/>
  <c r="R237" i="1" s="1"/>
  <c r="C237" i="1" s="1"/>
  <c r="L230" i="1"/>
  <c r="R230" i="1" s="1"/>
  <c r="C230" i="1" s="1"/>
  <c r="L234" i="1"/>
  <c r="R234" i="1" s="1"/>
  <c r="C234" i="1" s="1"/>
  <c r="L241" i="1"/>
  <c r="R241" i="1" s="1"/>
  <c r="C241" i="1" s="1"/>
  <c r="L242" i="1"/>
  <c r="R242" i="1" s="1"/>
  <c r="C242" i="1" s="1"/>
  <c r="L244" i="1"/>
  <c r="R244" i="1" s="1"/>
  <c r="C244" i="1" s="1"/>
  <c r="L246" i="1"/>
  <c r="R246" i="1" s="1"/>
  <c r="C246" i="1" s="1"/>
  <c r="L248" i="1"/>
  <c r="R248" i="1" s="1"/>
  <c r="C248" i="1" s="1"/>
  <c r="L165" i="1"/>
  <c r="R165" i="1" s="1"/>
  <c r="C165" i="1" s="1"/>
  <c r="L194" i="1"/>
  <c r="R194" i="1" s="1"/>
  <c r="C194" i="1" s="1"/>
  <c r="L219" i="1"/>
  <c r="R219" i="1" s="1"/>
  <c r="C219" i="1" s="1"/>
  <c r="L175" i="1"/>
  <c r="R175" i="1" s="1"/>
  <c r="C175" i="1" s="1"/>
  <c r="L210" i="1"/>
  <c r="R210" i="1" s="1"/>
  <c r="C210" i="1" s="1"/>
  <c r="L202" i="1"/>
  <c r="R202" i="1" s="1"/>
  <c r="C202" i="1" s="1"/>
  <c r="L193" i="1"/>
  <c r="R193" i="1" s="1"/>
  <c r="C193" i="1" s="1"/>
  <c r="L184" i="1"/>
  <c r="R184" i="1" s="1"/>
  <c r="C184" i="1" s="1"/>
  <c r="L250" i="1"/>
  <c r="R250" i="1" s="1"/>
  <c r="C250" i="1" s="1"/>
  <c r="L245" i="1"/>
  <c r="R245" i="1" s="1"/>
  <c r="C245" i="1" s="1"/>
  <c r="L213" i="1"/>
  <c r="R213" i="1" s="1"/>
  <c r="C213" i="1" s="1"/>
  <c r="L192" i="1"/>
  <c r="R192" i="1" s="1"/>
  <c r="C192" i="1" s="1"/>
  <c r="L190" i="1"/>
  <c r="R190" i="1" s="1"/>
  <c r="C190" i="1" s="1"/>
  <c r="L65" i="1"/>
  <c r="R65" i="1" s="1"/>
  <c r="C65" i="1" s="1"/>
  <c r="L204" i="1"/>
  <c r="R204" i="1" s="1"/>
  <c r="C204" i="1" s="1"/>
  <c r="L170" i="1"/>
  <c r="R170" i="1" s="1"/>
  <c r="C170" i="1" s="1"/>
  <c r="L235" i="1"/>
  <c r="R235" i="1" s="1"/>
  <c r="C235" i="1" s="1"/>
  <c r="L238" i="1"/>
  <c r="R238" i="1" s="1"/>
  <c r="C238" i="1" s="1"/>
  <c r="L186" i="1"/>
  <c r="R186" i="1" s="1"/>
  <c r="C186" i="1" s="1"/>
  <c r="L164" i="1"/>
  <c r="R164" i="1" s="1"/>
  <c r="C164" i="1" s="1"/>
  <c r="L216" i="1"/>
  <c r="R216" i="1" s="1"/>
  <c r="C216" i="1" s="1"/>
  <c r="L182" i="1"/>
  <c r="R182" i="1" s="1"/>
  <c r="C182" i="1" s="1"/>
  <c r="L208" i="1"/>
  <c r="R208" i="1" s="1"/>
  <c r="C208" i="1" s="1"/>
  <c r="L243" i="1"/>
  <c r="R243" i="1" s="1"/>
  <c r="C243" i="1" s="1"/>
  <c r="L239" i="1"/>
  <c r="R239" i="1" s="1"/>
  <c r="C239" i="1" s="1"/>
  <c r="L187" i="1"/>
  <c r="R187" i="1" s="1"/>
  <c r="C187" i="1" s="1"/>
  <c r="L176" i="1"/>
  <c r="R176" i="1" s="1"/>
  <c r="C176" i="1" s="1"/>
  <c r="L2" i="1"/>
  <c r="R2" i="1" s="1"/>
  <c r="C2" i="1" s="1"/>
</calcChain>
</file>

<file path=xl/sharedStrings.xml><?xml version="1.0" encoding="utf-8"?>
<sst xmlns="http://schemas.openxmlformats.org/spreadsheetml/2006/main" count="527" uniqueCount="524">
  <si>
    <t>六爻</t>
  </si>
  <si>
    <t>刘畅</t>
  </si>
  <si>
    <t>乘一</t>
  </si>
  <si>
    <t>刘祉煦</t>
  </si>
  <si>
    <t>XL</t>
  </si>
  <si>
    <t>马小林</t>
  </si>
  <si>
    <t>劳模</t>
  </si>
  <si>
    <t>何维</t>
  </si>
  <si>
    <t>长河</t>
  </si>
  <si>
    <t>杨济远</t>
  </si>
  <si>
    <t>森云</t>
  </si>
  <si>
    <t>王梓桐</t>
  </si>
  <si>
    <t>徐行</t>
  </si>
  <si>
    <t>李小彤</t>
  </si>
  <si>
    <t>小绿</t>
  </si>
  <si>
    <t>马京岳</t>
  </si>
  <si>
    <t>诺有缸</t>
  </si>
  <si>
    <t>高荣淦</t>
  </si>
  <si>
    <t>郭导</t>
  </si>
  <si>
    <t>郭奕凯</t>
  </si>
  <si>
    <t>上线</t>
  </si>
  <si>
    <t>郭慜琦</t>
  </si>
  <si>
    <t>依古比古</t>
  </si>
  <si>
    <t>翟宇航</t>
  </si>
  <si>
    <t>大文</t>
  </si>
  <si>
    <t>邹慕文</t>
  </si>
  <si>
    <t>Sophia</t>
  </si>
  <si>
    <t>李牧桐</t>
  </si>
  <si>
    <t>Ao</t>
  </si>
  <si>
    <t>仇傲</t>
  </si>
  <si>
    <t>几木</t>
  </si>
  <si>
    <t>郭盈诺</t>
  </si>
  <si>
    <t>蓝</t>
  </si>
  <si>
    <t>陈东昊</t>
  </si>
  <si>
    <t>问道</t>
  </si>
  <si>
    <t>张道文</t>
  </si>
  <si>
    <t>十月</t>
  </si>
  <si>
    <t>古明阳</t>
  </si>
  <si>
    <t>Kathy</t>
  </si>
  <si>
    <t>闵吴美</t>
  </si>
  <si>
    <t>acce</t>
  </si>
  <si>
    <t>齐乐辰</t>
  </si>
  <si>
    <t>小仓鼠</t>
  </si>
  <si>
    <t>鄢奕昭</t>
  </si>
  <si>
    <t>晓阳</t>
  </si>
  <si>
    <t>杨卓恺</t>
  </si>
  <si>
    <t>飞蝶</t>
  </si>
  <si>
    <t>杜汶芮</t>
  </si>
  <si>
    <t>cc</t>
  </si>
  <si>
    <t>徐艺溶</t>
  </si>
  <si>
    <t>蓝毛仔</t>
  </si>
  <si>
    <t>莫云鹤</t>
  </si>
  <si>
    <t>虢中奇</t>
  </si>
  <si>
    <t>夜颂</t>
  </si>
  <si>
    <t>王博安</t>
  </si>
  <si>
    <t>晚风</t>
  </si>
  <si>
    <t>黄章毅</t>
  </si>
  <si>
    <t>purple rain</t>
  </si>
  <si>
    <t>张伟男</t>
  </si>
  <si>
    <t>惊棠</t>
  </si>
  <si>
    <t>李伊然</t>
  </si>
  <si>
    <t>月饼咸</t>
  </si>
  <si>
    <t>赵小瑶</t>
  </si>
  <si>
    <t>Ricky</t>
  </si>
  <si>
    <t>李昱麒</t>
  </si>
  <si>
    <t>炒饼饼</t>
  </si>
  <si>
    <t>许文灏</t>
  </si>
  <si>
    <t>烟火</t>
  </si>
  <si>
    <t>韩申贤</t>
  </si>
  <si>
    <t>孙绍翔</t>
  </si>
  <si>
    <t>愚宫</t>
  </si>
  <si>
    <t>宫玉栋</t>
  </si>
  <si>
    <t>table</t>
  </si>
  <si>
    <t>陈卓</t>
  </si>
  <si>
    <t>飞舟</t>
  </si>
  <si>
    <t>关涛</t>
  </si>
  <si>
    <t>圆</t>
  </si>
  <si>
    <t>刘雨恩</t>
  </si>
  <si>
    <t>Tom</t>
  </si>
  <si>
    <t>徐艺峰</t>
  </si>
  <si>
    <t>小酒</t>
  </si>
  <si>
    <t>傅靓</t>
  </si>
  <si>
    <t>红蓝</t>
  </si>
  <si>
    <t>李佳宸</t>
  </si>
  <si>
    <t>fengwu</t>
  </si>
  <si>
    <t>彭乙桐</t>
  </si>
  <si>
    <t>温瑶</t>
  </si>
  <si>
    <t>李蒋一</t>
  </si>
  <si>
    <t>雪风</t>
  </si>
  <si>
    <t>朱鼎</t>
  </si>
  <si>
    <t>月霜</t>
  </si>
  <si>
    <t>胡心月</t>
  </si>
  <si>
    <t>小笨熊</t>
  </si>
  <si>
    <t>李健宁</t>
  </si>
  <si>
    <t>踏月</t>
  </si>
  <si>
    <t>王予墨</t>
  </si>
  <si>
    <t>非鱼</t>
  </si>
  <si>
    <t>谢子瑜</t>
  </si>
  <si>
    <t>石市黄三</t>
  </si>
  <si>
    <t>王易会</t>
  </si>
  <si>
    <t>lqq</t>
  </si>
  <si>
    <t>刘青</t>
  </si>
  <si>
    <t>好蛋</t>
  </si>
  <si>
    <t>张颢丹</t>
  </si>
  <si>
    <t>水龙</t>
  </si>
  <si>
    <t>龙泉霖</t>
  </si>
  <si>
    <t>红色拖拉机</t>
  </si>
  <si>
    <t>赵瑄</t>
  </si>
  <si>
    <t>三里</t>
  </si>
  <si>
    <t>范心语</t>
  </si>
  <si>
    <t>程天</t>
  </si>
  <si>
    <t>blackchen</t>
  </si>
  <si>
    <t>王瑞辰</t>
  </si>
  <si>
    <t>椰汁</t>
  </si>
  <si>
    <t>张晓倩</t>
  </si>
  <si>
    <t>三改火</t>
  </si>
  <si>
    <t>赵泽奇</t>
  </si>
  <si>
    <t>红枫</t>
  </si>
  <si>
    <t>王绍华</t>
  </si>
  <si>
    <t>牛肉汤圆</t>
  </si>
  <si>
    <t>刘竞源</t>
  </si>
  <si>
    <t>卡拜</t>
  </si>
  <si>
    <t>唐睿程</t>
  </si>
  <si>
    <t>六三</t>
  </si>
  <si>
    <t>刘思睿</t>
  </si>
  <si>
    <t>辰羽</t>
  </si>
  <si>
    <t>吴振翔</t>
  </si>
  <si>
    <t>橘猫</t>
  </si>
  <si>
    <t>刘庆航</t>
  </si>
  <si>
    <t>ZC</t>
  </si>
  <si>
    <t>王晓杨</t>
  </si>
  <si>
    <t>猪丸</t>
  </si>
  <si>
    <t>谢来恩</t>
  </si>
  <si>
    <t>ox酱</t>
  </si>
  <si>
    <t>牛致阳</t>
  </si>
  <si>
    <t>司亮</t>
  </si>
  <si>
    <t>李嘉伟</t>
  </si>
  <si>
    <t xml:space="preserve">faltered </t>
  </si>
  <si>
    <t>梁行健</t>
  </si>
  <si>
    <t>长螺丝</t>
  </si>
  <si>
    <t>陈文逸</t>
  </si>
  <si>
    <t>芊叶</t>
  </si>
  <si>
    <t>王琴</t>
  </si>
  <si>
    <t>云清</t>
  </si>
  <si>
    <t>夏关清</t>
  </si>
  <si>
    <t>自迩</t>
  </si>
  <si>
    <t>赵楚邯</t>
  </si>
  <si>
    <t>忘忧</t>
  </si>
  <si>
    <t>魏煜航</t>
  </si>
  <si>
    <t>游乐</t>
  </si>
  <si>
    <t>谢秉奇</t>
  </si>
  <si>
    <t>小面包</t>
  </si>
  <si>
    <t>李修怡</t>
  </si>
  <si>
    <t>wdx</t>
  </si>
  <si>
    <t>吴东兴</t>
  </si>
  <si>
    <t>水鸟.</t>
  </si>
  <si>
    <t>王天翼</t>
  </si>
  <si>
    <t>橡皮.</t>
  </si>
  <si>
    <t>赵湘萍</t>
  </si>
  <si>
    <t>华为</t>
  </si>
  <si>
    <t>William Vickery</t>
  </si>
  <si>
    <t>zhaojiyun</t>
  </si>
  <si>
    <t>赵冀昀</t>
  </si>
  <si>
    <t>奶油小狗</t>
  </si>
  <si>
    <t>谢美琳</t>
  </si>
  <si>
    <t>沐阳</t>
  </si>
  <si>
    <t>杨文枫</t>
  </si>
  <si>
    <t>白马</t>
  </si>
  <si>
    <t>武昱达</t>
  </si>
  <si>
    <t>极速Zoom</t>
  </si>
  <si>
    <t>范宸宁</t>
  </si>
  <si>
    <t>阿笨</t>
  </si>
  <si>
    <t>严子隽</t>
  </si>
  <si>
    <t>烤笛</t>
  </si>
  <si>
    <t>崔文嘉</t>
  </si>
  <si>
    <t>牛筋丸</t>
  </si>
  <si>
    <t>潘美洁</t>
  </si>
  <si>
    <t>雾路</t>
  </si>
  <si>
    <t>曹三省</t>
  </si>
  <si>
    <t>栖风</t>
  </si>
  <si>
    <t>王玮</t>
  </si>
  <si>
    <t>菜叶子</t>
  </si>
  <si>
    <t>蔡加琦</t>
  </si>
  <si>
    <t>华年</t>
  </si>
  <si>
    <t>余博涵</t>
  </si>
  <si>
    <t>风吟</t>
  </si>
  <si>
    <t>叶风灿</t>
  </si>
  <si>
    <t>南希</t>
  </si>
  <si>
    <t>赵茜</t>
  </si>
  <si>
    <t>林晓</t>
  </si>
  <si>
    <t>王翊冰</t>
  </si>
  <si>
    <t>流浪猫</t>
  </si>
  <si>
    <t>刘黎明</t>
  </si>
  <si>
    <t>彤彤</t>
  </si>
  <si>
    <t>侯依彤</t>
  </si>
  <si>
    <t>小林</t>
  </si>
  <si>
    <t>李一恒</t>
  </si>
  <si>
    <t>彩笔</t>
  </si>
  <si>
    <t>刘晓磊</t>
  </si>
  <si>
    <t>kx</t>
  </si>
  <si>
    <t>袁晓坤</t>
  </si>
  <si>
    <t>逡巡</t>
  </si>
  <si>
    <t>李一萌</t>
  </si>
  <si>
    <t>春</t>
  </si>
  <si>
    <t>李宇涵</t>
  </si>
  <si>
    <t>有趣的大螃蟹</t>
  </si>
  <si>
    <t>王苗</t>
  </si>
  <si>
    <t>我好困</t>
  </si>
  <si>
    <t>梁函熙</t>
  </si>
  <si>
    <t>大圣</t>
  </si>
  <si>
    <t>孙洪楷</t>
  </si>
  <si>
    <t>余割</t>
  </si>
  <si>
    <t>陈少春</t>
  </si>
  <si>
    <t>冰苎</t>
  </si>
  <si>
    <t>黄天宏</t>
  </si>
  <si>
    <t>青鸟</t>
  </si>
  <si>
    <t>王坡</t>
  </si>
  <si>
    <t>梧桐.</t>
  </si>
  <si>
    <t>吴文锜</t>
  </si>
  <si>
    <t>AD钙</t>
  </si>
  <si>
    <t>赵一杰</t>
  </si>
  <si>
    <t>鹤临</t>
  </si>
  <si>
    <t>黄昌健</t>
  </si>
  <si>
    <t>飞歌</t>
  </si>
  <si>
    <t>刘滢</t>
  </si>
  <si>
    <t>果子</t>
  </si>
  <si>
    <t>武李果</t>
  </si>
  <si>
    <t>speeding</t>
  </si>
  <si>
    <t>陈嘉树</t>
  </si>
  <si>
    <t>好香！</t>
  </si>
  <si>
    <t>陈浩翔</t>
  </si>
  <si>
    <t>萝卟头</t>
  </si>
  <si>
    <t>罗西</t>
  </si>
  <si>
    <t>萤火ovo</t>
  </si>
  <si>
    <t>未知4</t>
  </si>
  <si>
    <t>跳跳</t>
  </si>
  <si>
    <t>杨亦宽</t>
  </si>
  <si>
    <t>拍子</t>
  </si>
  <si>
    <t>陶豫</t>
  </si>
  <si>
    <t>支原体</t>
  </si>
  <si>
    <t>任致远</t>
  </si>
  <si>
    <t>杰杰</t>
  </si>
  <si>
    <t>彭乃杰</t>
  </si>
  <si>
    <t>分子云</t>
  </si>
  <si>
    <t>刘翰溥</t>
  </si>
  <si>
    <t>薯片</t>
  </si>
  <si>
    <t>解攀峰</t>
  </si>
  <si>
    <t>纹水</t>
  </si>
  <si>
    <t>韩泓波</t>
  </si>
  <si>
    <t>秋小果</t>
  </si>
  <si>
    <t>陈一杭</t>
  </si>
  <si>
    <t>团子2号</t>
  </si>
  <si>
    <t>庞义瑶</t>
  </si>
  <si>
    <t>明非</t>
  </si>
  <si>
    <t>张祺</t>
  </si>
  <si>
    <t>菜汪</t>
  </si>
  <si>
    <t>赵梓霖</t>
  </si>
  <si>
    <t>玛卡巴卡233</t>
  </si>
  <si>
    <t>张文昊</t>
  </si>
  <si>
    <t>字节</t>
  </si>
  <si>
    <t>樊子颉</t>
  </si>
  <si>
    <t>药丸</t>
  </si>
  <si>
    <t>姚婉姮</t>
  </si>
  <si>
    <t>Real_Roller</t>
  </si>
  <si>
    <t>赵思淇</t>
  </si>
  <si>
    <t>泰勒</t>
  </si>
  <si>
    <t>周志盛</t>
  </si>
  <si>
    <t>四季</t>
  </si>
  <si>
    <t>李炆泽</t>
  </si>
  <si>
    <t>方俊</t>
  </si>
  <si>
    <t>永麓</t>
  </si>
  <si>
    <t>肖子尧</t>
  </si>
  <si>
    <t>spiderman</t>
  </si>
  <si>
    <t>曹睿涵</t>
  </si>
  <si>
    <t>公交车</t>
  </si>
  <si>
    <t>龚嘉敖</t>
  </si>
  <si>
    <t>燕麦</t>
  </si>
  <si>
    <t>沈婧伊</t>
  </si>
  <si>
    <t>问津</t>
  </si>
  <si>
    <t>王玮杰</t>
  </si>
  <si>
    <t>颠颠</t>
  </si>
  <si>
    <t>张知晗</t>
  </si>
  <si>
    <t>赵飞</t>
  </si>
  <si>
    <t>电泳旅行者</t>
  </si>
  <si>
    <t>刘乙泽</t>
  </si>
  <si>
    <t>柚青</t>
  </si>
  <si>
    <t>姚炜浩</t>
  </si>
  <si>
    <t>啊啊啊签错了尴尬</t>
  </si>
  <si>
    <t>王颢萌</t>
  </si>
  <si>
    <t>晙晖</t>
  </si>
  <si>
    <t>张嘉航</t>
  </si>
  <si>
    <t>天意</t>
  </si>
  <si>
    <t>周知勤</t>
  </si>
  <si>
    <t>梦城</t>
  </si>
  <si>
    <t>王理乐</t>
  </si>
  <si>
    <t>立夏</t>
  </si>
  <si>
    <t>周晋飞</t>
  </si>
  <si>
    <t>咋肥四鸭</t>
  </si>
  <si>
    <t>吴敬一</t>
  </si>
  <si>
    <t>沙砾</t>
  </si>
  <si>
    <t>刘丽莎</t>
  </si>
  <si>
    <t>九刀</t>
  </si>
  <si>
    <t>张代健</t>
  </si>
  <si>
    <t>不突</t>
  </si>
  <si>
    <t>未知1</t>
  </si>
  <si>
    <t>番茄Jhon</t>
  </si>
  <si>
    <t>未知2</t>
  </si>
  <si>
    <t>纸鹤</t>
  </si>
  <si>
    <t>沈之赫</t>
  </si>
  <si>
    <t>浅言</t>
  </si>
  <si>
    <t>钱沿</t>
  </si>
  <si>
    <t>系综</t>
  </si>
  <si>
    <t>蔡则宇</t>
  </si>
  <si>
    <t>牛奶雪糕</t>
  </si>
  <si>
    <t>霍思梁</t>
  </si>
  <si>
    <t>陌离</t>
  </si>
  <si>
    <t>秦慕予</t>
  </si>
  <si>
    <t>kkk</t>
  </si>
  <si>
    <t>叶文静</t>
  </si>
  <si>
    <t>Bayagod</t>
  </si>
  <si>
    <t>白优特清</t>
  </si>
  <si>
    <t>Kiki</t>
  </si>
  <si>
    <t>于之涵</t>
  </si>
  <si>
    <t>小熊🐻</t>
  </si>
  <si>
    <t>熊颖洁</t>
  </si>
  <si>
    <t>里拉</t>
  </si>
  <si>
    <t>徐梦溪</t>
  </si>
  <si>
    <t>脉动</t>
  </si>
  <si>
    <t>宋昊阳</t>
  </si>
  <si>
    <t>度假期</t>
  </si>
  <si>
    <t>杜嘉骐</t>
  </si>
  <si>
    <t>大心</t>
  </si>
  <si>
    <t>朱晓丽</t>
  </si>
  <si>
    <t>新闻与传播学院</t>
  </si>
  <si>
    <t>张一涵</t>
  </si>
  <si>
    <t>Jerry</t>
  </si>
  <si>
    <t>谢宸栋</t>
  </si>
  <si>
    <t>朱金霖</t>
  </si>
  <si>
    <t>草木灰</t>
  </si>
  <si>
    <t>蔡沐禾</t>
  </si>
  <si>
    <t>乐迪</t>
  </si>
  <si>
    <t>曾静璇</t>
  </si>
  <si>
    <t>圆魄</t>
  </si>
  <si>
    <t>陈正海</t>
  </si>
  <si>
    <t>九块腹肌</t>
  </si>
  <si>
    <t>陈川泽</t>
  </si>
  <si>
    <t>cccyy</t>
  </si>
  <si>
    <t>程羽</t>
  </si>
  <si>
    <t>四羊</t>
  </si>
  <si>
    <t>陈娜</t>
  </si>
  <si>
    <t>小恶魔</t>
  </si>
  <si>
    <t>初炜康</t>
  </si>
  <si>
    <t>丛雪</t>
  </si>
  <si>
    <t>狗勾</t>
  </si>
  <si>
    <t>何张墨</t>
  </si>
  <si>
    <t>戴维拽得</t>
  </si>
  <si>
    <t>洪戴维</t>
  </si>
  <si>
    <t>麒吟</t>
  </si>
  <si>
    <t>黄宇靖</t>
  </si>
  <si>
    <t>南有乔木</t>
  </si>
  <si>
    <t>柯喾</t>
  </si>
  <si>
    <t>卡诺</t>
  </si>
  <si>
    <t>李柏霖</t>
  </si>
  <si>
    <t>小青蛙</t>
  </si>
  <si>
    <t>李佩钊</t>
  </si>
  <si>
    <t>中微子</t>
  </si>
  <si>
    <t>李永康</t>
  </si>
  <si>
    <t>毛毛毛</t>
  </si>
  <si>
    <t>毛倩莹</t>
  </si>
  <si>
    <t>回响</t>
  </si>
  <si>
    <t>庞华程</t>
  </si>
  <si>
    <t>莉香</t>
  </si>
  <si>
    <t>宋美慧</t>
  </si>
  <si>
    <t>满一/汤圆儿</t>
  </si>
  <si>
    <t>汤媛媛</t>
  </si>
  <si>
    <t>黄桃</t>
  </si>
  <si>
    <t>陶凝骁</t>
  </si>
  <si>
    <t>𬘫彩</t>
  </si>
  <si>
    <t>万智鹏</t>
  </si>
  <si>
    <t>旺镓洛</t>
  </si>
  <si>
    <t>汪佳乐</t>
  </si>
  <si>
    <t>HeySearra</t>
  </si>
  <si>
    <t>王丽婷</t>
  </si>
  <si>
    <t>锌盐</t>
  </si>
  <si>
    <t>王心颜</t>
  </si>
  <si>
    <t>清云</t>
  </si>
  <si>
    <t>王彦琦</t>
  </si>
  <si>
    <t>蒲扇</t>
  </si>
  <si>
    <t>吴子玥</t>
  </si>
  <si>
    <t>kaka</t>
  </si>
  <si>
    <t>邢旭</t>
  </si>
  <si>
    <t>一路向北</t>
  </si>
  <si>
    <t>吴显宏</t>
  </si>
  <si>
    <t>晓寒</t>
  </si>
  <si>
    <t>徐礼涵</t>
  </si>
  <si>
    <t>UU</t>
  </si>
  <si>
    <t>夏张喆禹</t>
  </si>
  <si>
    <t>Leoooooo</t>
  </si>
  <si>
    <t>许庆胜</t>
  </si>
  <si>
    <t>白玉</t>
  </si>
  <si>
    <t>杨皓宇</t>
  </si>
  <si>
    <t>追风</t>
  </si>
  <si>
    <t>杨辉</t>
  </si>
  <si>
    <t>小天使</t>
  </si>
  <si>
    <t>闫淳溪</t>
  </si>
  <si>
    <t>鲸岛</t>
  </si>
  <si>
    <t>杨博皓</t>
  </si>
  <si>
    <t>重明</t>
  </si>
  <si>
    <t>叶鲁亮</t>
  </si>
  <si>
    <t>浑沌</t>
  </si>
  <si>
    <t>杨伟鹏</t>
  </si>
  <si>
    <t>一片叶子</t>
  </si>
  <si>
    <t>叶彦修</t>
  </si>
  <si>
    <t>负二</t>
  </si>
  <si>
    <t>喻宝</t>
  </si>
  <si>
    <t>木今</t>
  </si>
  <si>
    <t>杨子衿</t>
  </si>
  <si>
    <t>山雀</t>
  </si>
  <si>
    <t>叶云枫</t>
  </si>
  <si>
    <t>吃土豆长大的马铃薯</t>
  </si>
  <si>
    <t>张怡宁</t>
  </si>
  <si>
    <t>章鱼哥</t>
  </si>
  <si>
    <t>章煜恺</t>
  </si>
  <si>
    <t>麦当</t>
  </si>
  <si>
    <t>赵越超</t>
  </si>
  <si>
    <t>汤朱</t>
  </si>
  <si>
    <t>周佳怡</t>
  </si>
  <si>
    <t>七月蛙</t>
  </si>
  <si>
    <t>朱骊安</t>
  </si>
  <si>
    <t>菊石</t>
  </si>
  <si>
    <t>曹宇曦</t>
  </si>
  <si>
    <t>暴风雪</t>
  </si>
  <si>
    <t>刘明扬</t>
  </si>
  <si>
    <t>小星球</t>
  </si>
  <si>
    <t>谢星宇</t>
  </si>
  <si>
    <t>还也</t>
  </si>
  <si>
    <t>高月郝</t>
  </si>
  <si>
    <t>小熊猫猫</t>
  </si>
  <si>
    <t>王延桥</t>
  </si>
  <si>
    <t>Snow</t>
  </si>
  <si>
    <t>唐晨雪</t>
  </si>
  <si>
    <t>啊這</t>
  </si>
  <si>
    <t>梁煜</t>
  </si>
  <si>
    <t>蜻蜓点水</t>
  </si>
  <si>
    <t>鞠睿杰</t>
  </si>
  <si>
    <t>纸套</t>
  </si>
  <si>
    <t>朱志涛</t>
  </si>
  <si>
    <t>云nuage</t>
  </si>
  <si>
    <t>赵芸霏</t>
  </si>
  <si>
    <t>尼莫</t>
  </si>
  <si>
    <t>吴楠</t>
  </si>
  <si>
    <t>曲奇饼</t>
  </si>
  <si>
    <t>梁雪蕊</t>
  </si>
  <si>
    <t>奶油曲奇</t>
  </si>
  <si>
    <t>李思逊</t>
  </si>
  <si>
    <t>铅</t>
  </si>
  <si>
    <t>彭博</t>
  </si>
  <si>
    <t>洼洼</t>
  </si>
  <si>
    <t>田佳</t>
  </si>
  <si>
    <t>阿饼在召唤</t>
  </si>
  <si>
    <t>成睿</t>
  </si>
  <si>
    <t>妞妞</t>
  </si>
  <si>
    <t>尹梦囡</t>
  </si>
  <si>
    <t>雪落</t>
  </si>
  <si>
    <t>袁建行</t>
  </si>
  <si>
    <t>长夏</t>
  </si>
  <si>
    <t>蓝琳</t>
  </si>
  <si>
    <t>暗星</t>
  </si>
  <si>
    <t>曹安子</t>
  </si>
  <si>
    <t>萌新</t>
  </si>
  <si>
    <t>夏泽青</t>
  </si>
  <si>
    <t>白华</t>
  </si>
  <si>
    <t>菅博皓</t>
  </si>
  <si>
    <t>Miaaa</t>
  </si>
  <si>
    <t>王思雨</t>
  </si>
  <si>
    <t>阿喆</t>
  </si>
  <si>
    <t>赵延喆</t>
  </si>
  <si>
    <t>怎么办？</t>
  </si>
  <si>
    <t>张吉强</t>
  </si>
  <si>
    <t>李傲挺</t>
  </si>
  <si>
    <t>天一</t>
  </si>
  <si>
    <t>何昕玥</t>
  </si>
  <si>
    <t>ID</t>
    <phoneticPr fontId="18" type="noConversion"/>
  </si>
  <si>
    <t>姓名</t>
    <phoneticPr fontId="18" type="noConversion"/>
  </si>
  <si>
    <t>前十次</t>
    <phoneticPr fontId="18" type="noConversion"/>
  </si>
  <si>
    <t>后八次</t>
    <phoneticPr fontId="18" type="noConversion"/>
  </si>
  <si>
    <t>海淀公园</t>
    <phoneticPr fontId="18" type="noConversion"/>
  </si>
  <si>
    <t>前站数</t>
    <phoneticPr fontId="18" type="noConversion"/>
  </si>
  <si>
    <t>总次数</t>
    <phoneticPr fontId="18" type="noConversion"/>
  </si>
  <si>
    <t>后八次次数</t>
    <phoneticPr fontId="18" type="noConversion"/>
  </si>
  <si>
    <t>后八次大于等于4</t>
    <phoneticPr fontId="18" type="noConversion"/>
  </si>
  <si>
    <t>大于等于9</t>
    <phoneticPr fontId="18" type="noConversion"/>
  </si>
  <si>
    <t>大于等于11</t>
    <phoneticPr fontId="18" type="noConversion"/>
  </si>
  <si>
    <t>通过</t>
    <phoneticPr fontId="18" type="noConversion"/>
  </si>
  <si>
    <t>如果通过一次春训或冬训则通过</t>
    <phoneticPr fontId="18" type="noConversion"/>
  </si>
  <si>
    <t>level</t>
    <phoneticPr fontId="18" type="noConversion"/>
  </si>
  <si>
    <t>春训一</t>
    <phoneticPr fontId="18" type="noConversion"/>
  </si>
  <si>
    <t>春训二</t>
    <phoneticPr fontId="18" type="noConversion"/>
  </si>
  <si>
    <t>春训三</t>
    <phoneticPr fontId="18" type="noConversion"/>
  </si>
  <si>
    <t>穿越/小老鼠</t>
    <phoneticPr fontId="18" type="noConversion"/>
  </si>
  <si>
    <t>双日</t>
    <phoneticPr fontId="18" type="noConversion"/>
  </si>
  <si>
    <t>五四次数</t>
    <phoneticPr fontId="18" type="noConversion"/>
  </si>
  <si>
    <t>路易十六</t>
    <phoneticPr fontId="18" type="noConversion"/>
  </si>
  <si>
    <t>金陈涛</t>
    <phoneticPr fontId="18" type="noConversion"/>
  </si>
  <si>
    <t>黄一鸣</t>
    <phoneticPr fontId="18" type="noConversion"/>
  </si>
  <si>
    <t>dream</t>
    <phoneticPr fontId="18" type="noConversion"/>
  </si>
  <si>
    <t>黄杨</t>
    <phoneticPr fontId="18" type="noConversion"/>
  </si>
  <si>
    <t>王越千</t>
    <phoneticPr fontId="18" type="noConversion"/>
  </si>
  <si>
    <t>辣条</t>
    <phoneticPr fontId="18" type="noConversion"/>
  </si>
  <si>
    <t>吉姆</t>
    <phoneticPr fontId="18" type="noConversion"/>
  </si>
  <si>
    <t>马心睿</t>
    <phoneticPr fontId="18" type="noConversion"/>
  </si>
  <si>
    <t>拉练考勤通过</t>
    <phoneticPr fontId="18" type="noConversion"/>
  </si>
  <si>
    <t>骑行讲座</t>
    <phoneticPr fontId="18" type="noConversion"/>
  </si>
  <si>
    <t>历史讲座</t>
    <phoneticPr fontId="18" type="noConversion"/>
  </si>
  <si>
    <t>妙峰合格</t>
    <phoneticPr fontId="18" type="noConversion"/>
  </si>
  <si>
    <t>跑步合格</t>
    <phoneticPr fontId="18" type="noConversion"/>
  </si>
  <si>
    <t>跑步优秀</t>
    <phoneticPr fontId="18" type="noConversion"/>
  </si>
  <si>
    <t>平路</t>
    <phoneticPr fontId="18" type="noConversion"/>
  </si>
  <si>
    <t>妙峰优秀</t>
    <phoneticPr fontId="18" type="noConversion"/>
  </si>
  <si>
    <t>果丹皮</t>
    <phoneticPr fontId="18" type="noConversion"/>
  </si>
  <si>
    <t>不是真菌的假菌</t>
    <phoneticPr fontId="18" type="noConversion"/>
  </si>
  <si>
    <t>周佳俊</t>
    <phoneticPr fontId="18" type="noConversion"/>
  </si>
  <si>
    <t>体测</t>
    <phoneticPr fontId="18" type="noConversion"/>
  </si>
  <si>
    <t>Emily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</si>
</sst>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2"/>
  <sheetViews>
    <sheetView tabSelected="1" topLeftCell="A50" workbookViewId="0">
      <selection activeCell="I64" sqref="I64"/>
    </sheetView>
  </sheetViews>
  <sheetFormatPr baseColWidth="10" defaultRowHeight="16"/>
  <cols>
    <col min="1" max="1" width="16.83203125" style="1" customWidth="1"/>
    <col min="2" max="2" width="19.83203125" style="1" customWidth="1"/>
    <col min="3" max="3" width="10.83203125" style="1"/>
    <col min="4" max="11" width="10" style="1" customWidth="1"/>
    <col min="12" max="30" width="10.83203125" style="1"/>
  </cols>
  <sheetData>
    <row r="1" spans="1:30">
      <c r="A1" s="1" t="s">
        <v>482</v>
      </c>
      <c r="B1" s="1" t="s">
        <v>483</v>
      </c>
      <c r="C1" s="1" t="s">
        <v>495</v>
      </c>
      <c r="D1" s="1" t="s">
        <v>512</v>
      </c>
      <c r="E1" s="1" t="s">
        <v>513</v>
      </c>
      <c r="F1" s="1" t="s">
        <v>514</v>
      </c>
      <c r="G1" s="1" t="s">
        <v>518</v>
      </c>
      <c r="H1" s="1" t="s">
        <v>515</v>
      </c>
      <c r="I1" s="2" t="s">
        <v>516</v>
      </c>
      <c r="J1" s="1" t="s">
        <v>517</v>
      </c>
      <c r="K1" s="1" t="s">
        <v>522</v>
      </c>
      <c r="L1" s="1" t="s">
        <v>488</v>
      </c>
      <c r="M1" s="1" t="s">
        <v>496</v>
      </c>
      <c r="N1" s="1" t="s">
        <v>497</v>
      </c>
      <c r="O1" s="1" t="s">
        <v>498</v>
      </c>
      <c r="P1" s="1" t="s">
        <v>499</v>
      </c>
      <c r="Q1" s="1" t="s">
        <v>500</v>
      </c>
      <c r="R1" s="1" t="s">
        <v>511</v>
      </c>
      <c r="S1" s="1" t="s">
        <v>484</v>
      </c>
      <c r="T1" s="1" t="s">
        <v>485</v>
      </c>
      <c r="U1" s="1" t="s">
        <v>501</v>
      </c>
      <c r="V1" s="1" t="s">
        <v>486</v>
      </c>
      <c r="W1" s="1" t="s">
        <v>487</v>
      </c>
      <c r="X1" s="1" t="s">
        <v>488</v>
      </c>
      <c r="Y1" s="1" t="s">
        <v>489</v>
      </c>
      <c r="Z1" s="1" t="s">
        <v>490</v>
      </c>
      <c r="AA1" s="1" t="s">
        <v>491</v>
      </c>
      <c r="AB1" s="1" t="s">
        <v>492</v>
      </c>
      <c r="AC1" s="1" t="s">
        <v>493</v>
      </c>
      <c r="AD1" s="1" t="s">
        <v>494</v>
      </c>
    </row>
    <row r="2" spans="1:30">
      <c r="A2" s="1" t="s">
        <v>0</v>
      </c>
      <c r="B2" s="1" t="s">
        <v>1</v>
      </c>
      <c r="C2" s="1">
        <f t="shared" ref="C2:C33" si="0">(AD2+AC2)*R2</f>
        <v>2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K2" s="1">
        <f t="shared" ref="K2:K33" si="1">IF(F2*(H2+J2)*(G2+I2+J2)&gt;0,1,0)</f>
        <v>1</v>
      </c>
      <c r="L2" s="1">
        <f t="shared" ref="L2:L33" si="2">SUM(M2:Q2)</f>
        <v>5</v>
      </c>
      <c r="M2" s="1">
        <v>1</v>
      </c>
      <c r="N2" s="1">
        <v>0</v>
      </c>
      <c r="O2" s="1">
        <v>1</v>
      </c>
      <c r="P2" s="1">
        <v>1</v>
      </c>
      <c r="Q2" s="1">
        <v>2</v>
      </c>
      <c r="R2" s="1">
        <f t="shared" ref="R2:R33" si="3">IF(L2&gt;=3, 1, 0)</f>
        <v>1</v>
      </c>
      <c r="S2" s="1">
        <v>10</v>
      </c>
      <c r="T2" s="1">
        <v>8</v>
      </c>
      <c r="U2" s="1">
        <f t="shared" ref="U2:U33" si="4">T2+S2</f>
        <v>18</v>
      </c>
      <c r="V2" s="1">
        <v>1</v>
      </c>
      <c r="W2" s="1">
        <v>1</v>
      </c>
      <c r="X2" s="1">
        <v>20</v>
      </c>
      <c r="Y2" s="1">
        <v>9</v>
      </c>
      <c r="Z2" s="1">
        <v>1</v>
      </c>
      <c r="AA2" s="1">
        <v>1</v>
      </c>
      <c r="AB2" s="1">
        <v>1</v>
      </c>
      <c r="AC2" s="1">
        <v>1</v>
      </c>
      <c r="AD2" s="1">
        <v>1</v>
      </c>
    </row>
    <row r="3" spans="1:30">
      <c r="A3" s="1" t="s">
        <v>2</v>
      </c>
      <c r="B3" s="1" t="s">
        <v>3</v>
      </c>
      <c r="C3" s="1">
        <f t="shared" si="0"/>
        <v>2</v>
      </c>
      <c r="D3" s="1">
        <v>1</v>
      </c>
      <c r="E3" s="1">
        <v>1</v>
      </c>
      <c r="F3" s="1">
        <v>1</v>
      </c>
      <c r="G3" s="1">
        <v>0</v>
      </c>
      <c r="H3" s="1">
        <v>1</v>
      </c>
      <c r="I3" s="1">
        <v>1</v>
      </c>
      <c r="K3" s="1">
        <f t="shared" si="1"/>
        <v>1</v>
      </c>
      <c r="L3" s="1">
        <f t="shared" si="2"/>
        <v>5</v>
      </c>
      <c r="M3" s="1">
        <v>1</v>
      </c>
      <c r="N3" s="1">
        <v>1</v>
      </c>
      <c r="O3" s="1">
        <v>1</v>
      </c>
      <c r="Q3" s="1">
        <v>2</v>
      </c>
      <c r="R3" s="1">
        <f t="shared" si="3"/>
        <v>1</v>
      </c>
      <c r="S3" s="1">
        <v>10</v>
      </c>
      <c r="T3" s="1">
        <v>8</v>
      </c>
      <c r="U3" s="1">
        <f t="shared" si="4"/>
        <v>18</v>
      </c>
      <c r="V3" s="1">
        <v>0</v>
      </c>
      <c r="W3" s="1">
        <v>1</v>
      </c>
      <c r="X3" s="1">
        <v>19</v>
      </c>
      <c r="Y3" s="1">
        <v>9</v>
      </c>
      <c r="Z3" s="1">
        <v>1</v>
      </c>
      <c r="AA3" s="1">
        <v>1</v>
      </c>
      <c r="AB3" s="1">
        <v>1</v>
      </c>
      <c r="AC3" s="1">
        <v>1</v>
      </c>
      <c r="AD3" s="1">
        <v>1</v>
      </c>
    </row>
    <row r="4" spans="1:30">
      <c r="A4" s="1" t="s">
        <v>8</v>
      </c>
      <c r="B4" s="1" t="s">
        <v>9</v>
      </c>
      <c r="C4" s="1">
        <f t="shared" si="0"/>
        <v>2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K4" s="1">
        <f t="shared" si="1"/>
        <v>1</v>
      </c>
      <c r="L4" s="1">
        <f t="shared" si="2"/>
        <v>3</v>
      </c>
      <c r="M4" s="1">
        <v>0</v>
      </c>
      <c r="N4" s="1">
        <v>0</v>
      </c>
      <c r="O4" s="1">
        <v>1</v>
      </c>
      <c r="Q4" s="1">
        <v>2</v>
      </c>
      <c r="R4" s="1">
        <f t="shared" si="3"/>
        <v>1</v>
      </c>
      <c r="S4" s="1">
        <v>9</v>
      </c>
      <c r="T4" s="1">
        <v>7</v>
      </c>
      <c r="U4" s="1">
        <f t="shared" si="4"/>
        <v>16</v>
      </c>
      <c r="V4" s="1">
        <v>0</v>
      </c>
      <c r="W4" s="1">
        <v>1</v>
      </c>
      <c r="X4" s="1">
        <v>17</v>
      </c>
      <c r="Y4" s="1">
        <v>8</v>
      </c>
      <c r="Z4" s="1">
        <v>1</v>
      </c>
      <c r="AA4" s="1">
        <v>1</v>
      </c>
      <c r="AB4" s="1">
        <v>1</v>
      </c>
      <c r="AC4" s="1">
        <v>1</v>
      </c>
      <c r="AD4" s="1">
        <v>1</v>
      </c>
    </row>
    <row r="5" spans="1:30">
      <c r="A5" s="1" t="s">
        <v>4</v>
      </c>
      <c r="B5" s="1" t="s">
        <v>5</v>
      </c>
      <c r="C5" s="1">
        <f t="shared" si="0"/>
        <v>2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K5" s="1">
        <f t="shared" si="1"/>
        <v>1</v>
      </c>
      <c r="L5" s="1">
        <f t="shared" si="2"/>
        <v>5</v>
      </c>
      <c r="M5" s="1">
        <v>1</v>
      </c>
      <c r="N5" s="1">
        <v>1</v>
      </c>
      <c r="O5" s="1">
        <v>1</v>
      </c>
      <c r="Q5" s="1">
        <v>2</v>
      </c>
      <c r="R5" s="1">
        <f t="shared" si="3"/>
        <v>1</v>
      </c>
      <c r="S5" s="1">
        <v>8</v>
      </c>
      <c r="T5" s="1">
        <v>7</v>
      </c>
      <c r="U5" s="1">
        <f t="shared" si="4"/>
        <v>15</v>
      </c>
      <c r="V5" s="1">
        <v>3</v>
      </c>
      <c r="X5" s="1">
        <v>18</v>
      </c>
      <c r="Y5" s="1">
        <v>8</v>
      </c>
      <c r="Z5" s="1">
        <v>1</v>
      </c>
      <c r="AA5" s="1">
        <v>1</v>
      </c>
      <c r="AB5" s="1">
        <v>1</v>
      </c>
      <c r="AC5" s="1">
        <v>1</v>
      </c>
      <c r="AD5" s="1">
        <v>1</v>
      </c>
    </row>
    <row r="6" spans="1:30">
      <c r="A6" s="1" t="s">
        <v>20</v>
      </c>
      <c r="B6" s="1" t="s">
        <v>21</v>
      </c>
      <c r="C6" s="1">
        <f t="shared" si="0"/>
        <v>2</v>
      </c>
      <c r="D6" s="1">
        <v>1</v>
      </c>
      <c r="E6" s="1">
        <v>1</v>
      </c>
      <c r="F6" s="1">
        <v>1</v>
      </c>
      <c r="G6" s="1">
        <v>0</v>
      </c>
      <c r="H6" s="1">
        <v>1</v>
      </c>
      <c r="I6" s="1">
        <v>1</v>
      </c>
      <c r="K6" s="1">
        <f t="shared" si="1"/>
        <v>1</v>
      </c>
      <c r="L6" s="1">
        <f t="shared" si="2"/>
        <v>5</v>
      </c>
      <c r="M6" s="1">
        <v>1</v>
      </c>
      <c r="N6" s="1">
        <v>1</v>
      </c>
      <c r="O6" s="1">
        <v>1</v>
      </c>
      <c r="Q6" s="1">
        <v>2</v>
      </c>
      <c r="R6" s="1">
        <f t="shared" si="3"/>
        <v>1</v>
      </c>
      <c r="S6" s="1">
        <v>8</v>
      </c>
      <c r="T6" s="1">
        <v>6.5</v>
      </c>
      <c r="U6" s="1">
        <f t="shared" si="4"/>
        <v>14.5</v>
      </c>
      <c r="V6" s="1">
        <v>0</v>
      </c>
      <c r="X6" s="1">
        <v>14.5</v>
      </c>
      <c r="Y6" s="1">
        <v>6.5</v>
      </c>
      <c r="Z6" s="1">
        <v>1</v>
      </c>
      <c r="AA6" s="1">
        <v>1</v>
      </c>
      <c r="AB6" s="1">
        <v>1</v>
      </c>
      <c r="AC6" s="1">
        <v>1</v>
      </c>
      <c r="AD6" s="1">
        <v>1</v>
      </c>
    </row>
    <row r="7" spans="1:30">
      <c r="A7" s="1" t="s">
        <v>10</v>
      </c>
      <c r="B7" s="1" t="s">
        <v>11</v>
      </c>
      <c r="C7" s="1">
        <f t="shared" si="0"/>
        <v>2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K7" s="1">
        <f t="shared" si="1"/>
        <v>1</v>
      </c>
      <c r="L7" s="1">
        <f t="shared" si="2"/>
        <v>4</v>
      </c>
      <c r="M7" s="1">
        <v>1</v>
      </c>
      <c r="N7" s="1">
        <v>0</v>
      </c>
      <c r="O7" s="1">
        <v>1</v>
      </c>
      <c r="Q7" s="1">
        <v>2</v>
      </c>
      <c r="R7" s="1">
        <f t="shared" si="3"/>
        <v>1</v>
      </c>
      <c r="S7" s="1">
        <v>8</v>
      </c>
      <c r="T7" s="1">
        <v>6</v>
      </c>
      <c r="U7" s="1">
        <f t="shared" si="4"/>
        <v>14</v>
      </c>
      <c r="V7" s="1">
        <v>1</v>
      </c>
      <c r="W7" s="1">
        <v>2</v>
      </c>
      <c r="X7" s="1">
        <v>17</v>
      </c>
      <c r="Y7" s="1">
        <v>7</v>
      </c>
      <c r="Z7" s="1">
        <v>1</v>
      </c>
      <c r="AA7" s="1">
        <v>1</v>
      </c>
      <c r="AB7" s="1">
        <v>1</v>
      </c>
      <c r="AC7" s="1">
        <v>1</v>
      </c>
      <c r="AD7" s="1">
        <v>1</v>
      </c>
    </row>
    <row r="8" spans="1:30">
      <c r="A8" s="1" t="s">
        <v>24</v>
      </c>
      <c r="B8" s="1" t="s">
        <v>25</v>
      </c>
      <c r="C8" s="1">
        <f t="shared" si="0"/>
        <v>2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K8" s="1">
        <f t="shared" si="1"/>
        <v>1</v>
      </c>
      <c r="L8" s="1">
        <f t="shared" si="2"/>
        <v>4</v>
      </c>
      <c r="M8" s="1">
        <v>1</v>
      </c>
      <c r="N8" s="1">
        <v>1</v>
      </c>
      <c r="O8" s="1">
        <v>0</v>
      </c>
      <c r="Q8" s="1">
        <v>2</v>
      </c>
      <c r="R8" s="1">
        <f t="shared" si="3"/>
        <v>1</v>
      </c>
      <c r="S8" s="1">
        <v>7</v>
      </c>
      <c r="T8" s="1">
        <v>7</v>
      </c>
      <c r="U8" s="1">
        <f t="shared" si="4"/>
        <v>14</v>
      </c>
      <c r="V8" s="1">
        <v>0</v>
      </c>
      <c r="X8" s="1">
        <v>14</v>
      </c>
      <c r="Y8" s="1">
        <v>7</v>
      </c>
      <c r="Z8" s="1">
        <v>1</v>
      </c>
      <c r="AA8" s="1">
        <v>1</v>
      </c>
      <c r="AB8" s="1">
        <v>1</v>
      </c>
      <c r="AC8" s="1">
        <v>1</v>
      </c>
      <c r="AD8" s="1">
        <v>1</v>
      </c>
    </row>
    <row r="9" spans="1:30">
      <c r="A9" s="1" t="s">
        <v>6</v>
      </c>
      <c r="B9" s="1" t="s">
        <v>7</v>
      </c>
      <c r="C9" s="1">
        <f t="shared" si="0"/>
        <v>2</v>
      </c>
      <c r="D9" s="1">
        <v>1</v>
      </c>
      <c r="E9" s="1">
        <v>1</v>
      </c>
      <c r="F9" s="1">
        <v>1</v>
      </c>
      <c r="G9" s="1">
        <v>1</v>
      </c>
      <c r="H9" s="1">
        <v>0</v>
      </c>
      <c r="I9" s="1">
        <v>0</v>
      </c>
      <c r="J9" s="1">
        <v>1</v>
      </c>
      <c r="K9" s="1">
        <f t="shared" si="1"/>
        <v>1</v>
      </c>
      <c r="L9" s="1">
        <f t="shared" si="2"/>
        <v>5</v>
      </c>
      <c r="M9" s="1">
        <v>1</v>
      </c>
      <c r="N9" s="1">
        <v>1</v>
      </c>
      <c r="O9" s="1">
        <v>1</v>
      </c>
      <c r="Q9" s="1">
        <v>2</v>
      </c>
      <c r="R9" s="1">
        <f t="shared" si="3"/>
        <v>1</v>
      </c>
      <c r="S9" s="1">
        <v>8.5</v>
      </c>
      <c r="T9" s="1">
        <v>5</v>
      </c>
      <c r="U9" s="1">
        <f t="shared" si="4"/>
        <v>13.5</v>
      </c>
      <c r="V9" s="1">
        <v>3</v>
      </c>
      <c r="W9" s="1">
        <v>1</v>
      </c>
      <c r="X9" s="1">
        <v>17.5</v>
      </c>
      <c r="Y9" s="1">
        <v>6</v>
      </c>
      <c r="Z9" s="1">
        <v>1</v>
      </c>
      <c r="AA9" s="1">
        <v>1</v>
      </c>
      <c r="AB9" s="1">
        <v>1</v>
      </c>
      <c r="AC9" s="1">
        <v>1</v>
      </c>
      <c r="AD9" s="1">
        <v>1</v>
      </c>
    </row>
    <row r="10" spans="1:30">
      <c r="A10" s="1" t="s">
        <v>14</v>
      </c>
      <c r="B10" s="1" t="s">
        <v>15</v>
      </c>
      <c r="C10" s="1">
        <f t="shared" si="0"/>
        <v>2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K10" s="1">
        <f t="shared" si="1"/>
        <v>1</v>
      </c>
      <c r="L10" s="1">
        <f t="shared" si="2"/>
        <v>6</v>
      </c>
      <c r="M10" s="1">
        <v>1</v>
      </c>
      <c r="N10" s="1">
        <v>1</v>
      </c>
      <c r="O10" s="1">
        <v>1</v>
      </c>
      <c r="P10" s="1">
        <v>1</v>
      </c>
      <c r="Q10" s="1">
        <v>2</v>
      </c>
      <c r="R10" s="1">
        <f t="shared" si="3"/>
        <v>1</v>
      </c>
      <c r="S10" s="1">
        <v>8</v>
      </c>
      <c r="T10" s="1">
        <v>5</v>
      </c>
      <c r="U10" s="1">
        <f t="shared" si="4"/>
        <v>13</v>
      </c>
      <c r="V10" s="1">
        <v>1</v>
      </c>
      <c r="W10" s="1">
        <v>1</v>
      </c>
      <c r="X10" s="1">
        <v>15</v>
      </c>
      <c r="Y10" s="1">
        <v>6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</row>
    <row r="11" spans="1:30">
      <c r="A11" s="1" t="s">
        <v>36</v>
      </c>
      <c r="B11" s="1" t="s">
        <v>37</v>
      </c>
      <c r="C11" s="1">
        <f t="shared" si="0"/>
        <v>2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K11" s="1">
        <f t="shared" si="1"/>
        <v>1</v>
      </c>
      <c r="L11" s="1">
        <f t="shared" si="2"/>
        <v>4</v>
      </c>
      <c r="M11" s="1">
        <v>0</v>
      </c>
      <c r="N11" s="1">
        <v>1</v>
      </c>
      <c r="O11" s="1">
        <v>1</v>
      </c>
      <c r="Q11" s="1">
        <v>2</v>
      </c>
      <c r="R11" s="1">
        <f t="shared" si="3"/>
        <v>1</v>
      </c>
      <c r="S11" s="1">
        <v>7</v>
      </c>
      <c r="T11" s="1">
        <v>6</v>
      </c>
      <c r="U11" s="1">
        <f t="shared" si="4"/>
        <v>13</v>
      </c>
      <c r="V11" s="1">
        <v>0</v>
      </c>
      <c r="X11" s="1">
        <v>13</v>
      </c>
      <c r="Y11" s="1">
        <v>6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</row>
    <row r="12" spans="1:30">
      <c r="A12" s="1" t="s">
        <v>38</v>
      </c>
      <c r="B12" s="1" t="s">
        <v>39</v>
      </c>
      <c r="C12" s="1">
        <f t="shared" si="0"/>
        <v>2</v>
      </c>
      <c r="D12" s="1">
        <v>1</v>
      </c>
      <c r="E12" s="1">
        <v>1</v>
      </c>
      <c r="F12" s="1">
        <v>1</v>
      </c>
      <c r="G12" s="1">
        <v>0</v>
      </c>
      <c r="H12" s="1">
        <v>1</v>
      </c>
      <c r="I12" s="1">
        <v>1</v>
      </c>
      <c r="K12" s="1">
        <f t="shared" si="1"/>
        <v>1</v>
      </c>
      <c r="L12" s="1">
        <f t="shared" si="2"/>
        <v>5</v>
      </c>
      <c r="M12" s="1">
        <v>1</v>
      </c>
      <c r="N12" s="1">
        <v>1</v>
      </c>
      <c r="O12" s="1">
        <v>1</v>
      </c>
      <c r="Q12" s="1">
        <v>2</v>
      </c>
      <c r="R12" s="1">
        <f t="shared" si="3"/>
        <v>1</v>
      </c>
      <c r="S12" s="1">
        <v>7</v>
      </c>
      <c r="T12" s="1">
        <v>6</v>
      </c>
      <c r="U12" s="1">
        <f t="shared" si="4"/>
        <v>13</v>
      </c>
      <c r="V12" s="1">
        <v>0</v>
      </c>
      <c r="X12" s="1">
        <v>13</v>
      </c>
      <c r="Y12" s="1">
        <v>6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</row>
    <row r="13" spans="1:30">
      <c r="A13" s="1" t="s">
        <v>22</v>
      </c>
      <c r="B13" s="1" t="s">
        <v>23</v>
      </c>
      <c r="C13" s="1">
        <f t="shared" si="0"/>
        <v>2</v>
      </c>
      <c r="D13" s="1">
        <v>1</v>
      </c>
      <c r="E13" s="1">
        <v>1</v>
      </c>
      <c r="F13" s="1">
        <v>1</v>
      </c>
      <c r="G13" s="1">
        <v>0</v>
      </c>
      <c r="H13" s="1">
        <v>1</v>
      </c>
      <c r="I13" s="1">
        <v>0</v>
      </c>
      <c r="J13" s="1">
        <v>1</v>
      </c>
      <c r="K13" s="1">
        <f t="shared" si="1"/>
        <v>1</v>
      </c>
      <c r="L13" s="1">
        <f t="shared" si="2"/>
        <v>5</v>
      </c>
      <c r="M13" s="1">
        <v>1</v>
      </c>
      <c r="N13" s="1">
        <v>1</v>
      </c>
      <c r="O13" s="1">
        <v>1</v>
      </c>
      <c r="Q13" s="1">
        <v>2</v>
      </c>
      <c r="R13" s="1">
        <f t="shared" si="3"/>
        <v>1</v>
      </c>
      <c r="S13" s="1">
        <v>7</v>
      </c>
      <c r="T13" s="1">
        <v>6</v>
      </c>
      <c r="U13" s="1">
        <f t="shared" si="4"/>
        <v>13</v>
      </c>
      <c r="V13" s="1">
        <v>0</v>
      </c>
      <c r="W13" s="1">
        <v>1</v>
      </c>
      <c r="X13" s="1">
        <v>14</v>
      </c>
      <c r="Y13" s="1">
        <v>7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</row>
    <row r="14" spans="1:30">
      <c r="A14" s="1" t="s">
        <v>28</v>
      </c>
      <c r="B14" s="1" t="s">
        <v>29</v>
      </c>
      <c r="C14" s="1">
        <f t="shared" si="0"/>
        <v>2</v>
      </c>
      <c r="D14" s="1">
        <v>1</v>
      </c>
      <c r="E14" s="1">
        <v>1</v>
      </c>
      <c r="F14" s="1">
        <v>1</v>
      </c>
      <c r="G14" s="1">
        <v>0</v>
      </c>
      <c r="H14" s="1">
        <v>1</v>
      </c>
      <c r="I14" s="1">
        <v>1</v>
      </c>
      <c r="K14" s="1">
        <f t="shared" si="1"/>
        <v>1</v>
      </c>
      <c r="L14" s="1">
        <f t="shared" si="2"/>
        <v>3</v>
      </c>
      <c r="M14" s="1">
        <v>1</v>
      </c>
      <c r="N14" s="1">
        <v>0</v>
      </c>
      <c r="O14" s="1">
        <v>0</v>
      </c>
      <c r="Q14" s="1">
        <v>2</v>
      </c>
      <c r="R14" s="1">
        <f t="shared" si="3"/>
        <v>1</v>
      </c>
      <c r="S14" s="1">
        <v>8</v>
      </c>
      <c r="T14" s="1">
        <v>4</v>
      </c>
      <c r="U14" s="1">
        <f t="shared" si="4"/>
        <v>12</v>
      </c>
      <c r="V14" s="1">
        <v>1</v>
      </c>
      <c r="W14" s="1">
        <v>1</v>
      </c>
      <c r="X14" s="1">
        <v>14</v>
      </c>
      <c r="Y14" s="1">
        <v>5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</row>
    <row r="15" spans="1:30">
      <c r="A15" s="1" t="s">
        <v>30</v>
      </c>
      <c r="B15" s="1" t="s">
        <v>31</v>
      </c>
      <c r="C15" s="1">
        <f t="shared" si="0"/>
        <v>2</v>
      </c>
      <c r="D15" s="1">
        <v>1</v>
      </c>
      <c r="E15" s="1">
        <v>1</v>
      </c>
      <c r="F15" s="1">
        <v>1</v>
      </c>
      <c r="G15" s="1">
        <v>0</v>
      </c>
      <c r="H15" s="1">
        <v>1</v>
      </c>
      <c r="I15" s="1">
        <v>1</v>
      </c>
      <c r="K15" s="1">
        <f t="shared" si="1"/>
        <v>1</v>
      </c>
      <c r="L15" s="1">
        <f t="shared" si="2"/>
        <v>4</v>
      </c>
      <c r="M15" s="1">
        <v>0</v>
      </c>
      <c r="N15" s="1">
        <v>1</v>
      </c>
      <c r="O15" s="1">
        <v>1</v>
      </c>
      <c r="Q15" s="1">
        <v>2</v>
      </c>
      <c r="R15" s="1">
        <f t="shared" si="3"/>
        <v>1</v>
      </c>
      <c r="S15" s="1">
        <v>5</v>
      </c>
      <c r="T15" s="1">
        <v>7</v>
      </c>
      <c r="U15" s="1">
        <f t="shared" si="4"/>
        <v>12</v>
      </c>
      <c r="V15" s="1">
        <v>1</v>
      </c>
      <c r="X15" s="1">
        <v>13</v>
      </c>
      <c r="Y15" s="1">
        <v>8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</row>
    <row r="16" spans="1:30">
      <c r="A16" s="1" t="s">
        <v>40</v>
      </c>
      <c r="B16" s="1" t="s">
        <v>41</v>
      </c>
      <c r="C16" s="1">
        <f t="shared" si="0"/>
        <v>2</v>
      </c>
      <c r="D16" s="1">
        <v>1</v>
      </c>
      <c r="E16" s="1">
        <v>1</v>
      </c>
      <c r="F16" s="1">
        <v>1</v>
      </c>
      <c r="G16" s="1">
        <v>0</v>
      </c>
      <c r="H16" s="1">
        <v>1</v>
      </c>
      <c r="I16" s="1">
        <v>1</v>
      </c>
      <c r="K16" s="1">
        <f t="shared" si="1"/>
        <v>1</v>
      </c>
      <c r="L16" s="1">
        <f t="shared" si="2"/>
        <v>3</v>
      </c>
      <c r="M16" s="1">
        <v>0</v>
      </c>
      <c r="N16" s="1">
        <v>1</v>
      </c>
      <c r="O16" s="1">
        <v>1</v>
      </c>
      <c r="P16" s="1">
        <v>1</v>
      </c>
      <c r="R16" s="1">
        <f t="shared" si="3"/>
        <v>1</v>
      </c>
      <c r="S16" s="1">
        <v>7</v>
      </c>
      <c r="T16" s="1">
        <v>5</v>
      </c>
      <c r="U16" s="1">
        <f t="shared" si="4"/>
        <v>12</v>
      </c>
      <c r="V16" s="1">
        <v>1</v>
      </c>
      <c r="X16" s="1">
        <v>13</v>
      </c>
      <c r="Y16" s="1">
        <v>6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</row>
    <row r="17" spans="1:30">
      <c r="A17" s="1" t="s">
        <v>34</v>
      </c>
      <c r="B17" s="1" t="s">
        <v>35</v>
      </c>
      <c r="C17" s="1">
        <f t="shared" si="0"/>
        <v>2</v>
      </c>
      <c r="D17" s="1">
        <v>1</v>
      </c>
      <c r="E17" s="1">
        <v>1</v>
      </c>
      <c r="F17" s="1">
        <v>1</v>
      </c>
      <c r="G17" s="1">
        <v>0</v>
      </c>
      <c r="H17" s="1">
        <v>1</v>
      </c>
      <c r="I17" s="1">
        <v>1</v>
      </c>
      <c r="K17" s="1">
        <f t="shared" si="1"/>
        <v>1</v>
      </c>
      <c r="L17" s="1">
        <f t="shared" si="2"/>
        <v>4</v>
      </c>
      <c r="M17" s="1">
        <v>1</v>
      </c>
      <c r="N17" s="1">
        <v>0</v>
      </c>
      <c r="O17" s="1">
        <v>1</v>
      </c>
      <c r="Q17" s="1">
        <v>2</v>
      </c>
      <c r="R17" s="1">
        <f t="shared" si="3"/>
        <v>1</v>
      </c>
      <c r="S17" s="1">
        <v>7</v>
      </c>
      <c r="T17" s="1">
        <v>5</v>
      </c>
      <c r="U17" s="1">
        <f t="shared" si="4"/>
        <v>12</v>
      </c>
      <c r="V17" s="1">
        <v>0</v>
      </c>
      <c r="W17" s="1">
        <v>1</v>
      </c>
      <c r="X17" s="1">
        <v>13</v>
      </c>
      <c r="Y17" s="1">
        <v>6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</row>
    <row r="18" spans="1:30">
      <c r="A18" s="1" t="s">
        <v>48</v>
      </c>
      <c r="B18" s="1" t="s">
        <v>49</v>
      </c>
      <c r="C18" s="1">
        <f t="shared" si="0"/>
        <v>2</v>
      </c>
      <c r="D18" s="1">
        <v>1</v>
      </c>
      <c r="E18" s="1">
        <v>1</v>
      </c>
      <c r="F18" s="1">
        <v>1</v>
      </c>
      <c r="G18" s="1">
        <v>0</v>
      </c>
      <c r="H18" s="1">
        <v>1</v>
      </c>
      <c r="I18" s="1">
        <v>1</v>
      </c>
      <c r="K18" s="1">
        <f t="shared" si="1"/>
        <v>1</v>
      </c>
      <c r="L18" s="1">
        <f t="shared" si="2"/>
        <v>5</v>
      </c>
      <c r="M18" s="1">
        <v>1</v>
      </c>
      <c r="N18" s="1">
        <v>1</v>
      </c>
      <c r="O18" s="1">
        <v>1</v>
      </c>
      <c r="Q18" s="1">
        <v>2</v>
      </c>
      <c r="R18" s="1">
        <f t="shared" si="3"/>
        <v>1</v>
      </c>
      <c r="S18" s="1">
        <v>6</v>
      </c>
      <c r="T18" s="1">
        <v>6</v>
      </c>
      <c r="U18" s="1">
        <f t="shared" si="4"/>
        <v>12</v>
      </c>
      <c r="V18" s="1">
        <v>0</v>
      </c>
      <c r="X18" s="1">
        <v>12</v>
      </c>
      <c r="Y18" s="1">
        <v>6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</row>
    <row r="19" spans="1:30">
      <c r="A19" s="1" t="s">
        <v>32</v>
      </c>
      <c r="B19" s="1" t="s">
        <v>33</v>
      </c>
      <c r="C19" s="1">
        <f t="shared" si="0"/>
        <v>2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K19" s="1">
        <f t="shared" si="1"/>
        <v>1</v>
      </c>
      <c r="L19" s="1">
        <f t="shared" si="2"/>
        <v>4</v>
      </c>
      <c r="M19" s="1">
        <v>1</v>
      </c>
      <c r="N19" s="1">
        <v>0</v>
      </c>
      <c r="O19" s="1">
        <v>1</v>
      </c>
      <c r="Q19" s="1">
        <v>2</v>
      </c>
      <c r="R19" s="1">
        <f t="shared" si="3"/>
        <v>1</v>
      </c>
      <c r="S19" s="1">
        <v>5</v>
      </c>
      <c r="T19" s="1">
        <v>6</v>
      </c>
      <c r="U19" s="1">
        <f t="shared" si="4"/>
        <v>11</v>
      </c>
      <c r="V19" s="1">
        <v>0</v>
      </c>
      <c r="W19" s="1">
        <v>2</v>
      </c>
      <c r="X19" s="1">
        <v>13</v>
      </c>
      <c r="Y19" s="1">
        <v>7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</row>
    <row r="20" spans="1:30">
      <c r="A20" s="1" t="s">
        <v>53</v>
      </c>
      <c r="B20" s="1" t="s">
        <v>54</v>
      </c>
      <c r="C20" s="1">
        <f t="shared" si="0"/>
        <v>2</v>
      </c>
      <c r="D20" s="1">
        <v>1</v>
      </c>
      <c r="E20" s="1">
        <v>1</v>
      </c>
      <c r="F20" s="1">
        <v>1</v>
      </c>
      <c r="G20" s="1">
        <v>0</v>
      </c>
      <c r="H20" s="1">
        <v>1</v>
      </c>
      <c r="I20" s="1">
        <v>1</v>
      </c>
      <c r="K20" s="1">
        <f t="shared" si="1"/>
        <v>1</v>
      </c>
      <c r="L20" s="1">
        <f t="shared" si="2"/>
        <v>4</v>
      </c>
      <c r="M20" s="1">
        <v>1</v>
      </c>
      <c r="N20" s="1">
        <v>0</v>
      </c>
      <c r="O20" s="1">
        <v>1</v>
      </c>
      <c r="Q20" s="1">
        <v>2</v>
      </c>
      <c r="R20" s="1">
        <f t="shared" si="3"/>
        <v>1</v>
      </c>
      <c r="S20" s="1">
        <v>7</v>
      </c>
      <c r="T20" s="1">
        <v>4</v>
      </c>
      <c r="U20" s="1">
        <f t="shared" si="4"/>
        <v>11</v>
      </c>
      <c r="V20" s="1">
        <v>0</v>
      </c>
      <c r="W20" s="1">
        <v>1</v>
      </c>
      <c r="X20" s="1">
        <v>12</v>
      </c>
      <c r="Y20" s="1">
        <v>5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</row>
    <row r="21" spans="1:30">
      <c r="A21" s="1" t="s">
        <v>80</v>
      </c>
      <c r="B21" s="1" t="s">
        <v>81</v>
      </c>
      <c r="C21" s="1">
        <f t="shared" si="0"/>
        <v>2</v>
      </c>
      <c r="D21" s="1">
        <v>1</v>
      </c>
      <c r="E21" s="1">
        <v>1</v>
      </c>
      <c r="F21" s="1">
        <v>1</v>
      </c>
      <c r="G21" s="1">
        <v>0</v>
      </c>
      <c r="H21" s="1">
        <v>1</v>
      </c>
      <c r="I21" s="1">
        <v>1</v>
      </c>
      <c r="K21" s="1">
        <f t="shared" si="1"/>
        <v>1</v>
      </c>
      <c r="L21" s="1">
        <f t="shared" si="2"/>
        <v>3</v>
      </c>
      <c r="M21" s="1">
        <v>1</v>
      </c>
      <c r="N21" s="1">
        <v>0</v>
      </c>
      <c r="O21" s="1">
        <v>0</v>
      </c>
      <c r="Q21" s="1">
        <v>2</v>
      </c>
      <c r="R21" s="1">
        <f t="shared" si="3"/>
        <v>1</v>
      </c>
      <c r="S21" s="1">
        <v>6</v>
      </c>
      <c r="T21" s="1">
        <v>5</v>
      </c>
      <c r="U21" s="1">
        <f t="shared" si="4"/>
        <v>11</v>
      </c>
      <c r="V21" s="1">
        <v>0</v>
      </c>
      <c r="X21" s="1">
        <v>11</v>
      </c>
      <c r="Y21" s="1">
        <v>5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</row>
    <row r="22" spans="1:30">
      <c r="A22" s="1" t="s">
        <v>519</v>
      </c>
      <c r="B22" s="1" t="s">
        <v>52</v>
      </c>
      <c r="C22" s="1">
        <f t="shared" si="0"/>
        <v>2</v>
      </c>
      <c r="D22" s="1">
        <v>1</v>
      </c>
      <c r="E22" s="1">
        <v>1</v>
      </c>
      <c r="F22" s="1">
        <v>1</v>
      </c>
      <c r="G22" s="1">
        <v>0</v>
      </c>
      <c r="H22" s="1">
        <v>1</v>
      </c>
      <c r="I22" s="1">
        <v>1</v>
      </c>
      <c r="K22" s="1">
        <f t="shared" si="1"/>
        <v>1</v>
      </c>
      <c r="L22" s="1">
        <f t="shared" si="2"/>
        <v>4</v>
      </c>
      <c r="M22" s="1">
        <v>0</v>
      </c>
      <c r="N22" s="1">
        <v>1</v>
      </c>
      <c r="O22" s="1">
        <v>1</v>
      </c>
      <c r="Q22" s="1">
        <v>2</v>
      </c>
      <c r="R22" s="1">
        <f t="shared" si="3"/>
        <v>1</v>
      </c>
      <c r="S22" s="1">
        <v>7</v>
      </c>
      <c r="T22" s="1">
        <v>4</v>
      </c>
      <c r="U22" s="1">
        <f t="shared" si="4"/>
        <v>11</v>
      </c>
      <c r="V22" s="1">
        <v>1</v>
      </c>
      <c r="X22" s="1">
        <v>12</v>
      </c>
      <c r="Y22" s="1">
        <v>5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</row>
    <row r="23" spans="1:30">
      <c r="A23" s="1" t="s">
        <v>16</v>
      </c>
      <c r="B23" s="1" t="s">
        <v>17</v>
      </c>
      <c r="C23" s="1">
        <f t="shared" si="0"/>
        <v>2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K23" s="1">
        <f t="shared" si="1"/>
        <v>1</v>
      </c>
      <c r="L23" s="1">
        <f t="shared" si="2"/>
        <v>5</v>
      </c>
      <c r="M23" s="1">
        <v>1</v>
      </c>
      <c r="N23" s="1">
        <v>1</v>
      </c>
      <c r="O23" s="1">
        <v>1</v>
      </c>
      <c r="Q23" s="1">
        <v>2</v>
      </c>
      <c r="R23" s="1">
        <f t="shared" si="3"/>
        <v>1</v>
      </c>
      <c r="S23" s="1">
        <v>6</v>
      </c>
      <c r="T23" s="1">
        <v>4</v>
      </c>
      <c r="U23" s="1">
        <f t="shared" si="4"/>
        <v>10</v>
      </c>
      <c r="V23" s="1">
        <v>4</v>
      </c>
      <c r="W23" s="1">
        <v>1</v>
      </c>
      <c r="X23" s="1">
        <v>15</v>
      </c>
      <c r="Y23" s="1">
        <v>5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</row>
    <row r="24" spans="1:30">
      <c r="A24" s="1" t="s">
        <v>18</v>
      </c>
      <c r="B24" s="1" t="s">
        <v>19</v>
      </c>
      <c r="C24" s="1">
        <f t="shared" si="0"/>
        <v>2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K24" s="1">
        <f t="shared" si="1"/>
        <v>1</v>
      </c>
      <c r="L24" s="1">
        <f t="shared" si="2"/>
        <v>5</v>
      </c>
      <c r="M24" s="1">
        <v>1</v>
      </c>
      <c r="N24" s="1">
        <v>0</v>
      </c>
      <c r="O24" s="1">
        <v>1</v>
      </c>
      <c r="P24" s="1">
        <v>1</v>
      </c>
      <c r="Q24" s="1">
        <v>2</v>
      </c>
      <c r="R24" s="1">
        <f t="shared" si="3"/>
        <v>1</v>
      </c>
      <c r="S24" s="1">
        <v>6</v>
      </c>
      <c r="T24" s="1">
        <v>4</v>
      </c>
      <c r="U24" s="1">
        <f t="shared" si="4"/>
        <v>10</v>
      </c>
      <c r="V24" s="1">
        <v>3</v>
      </c>
      <c r="W24" s="1">
        <v>2</v>
      </c>
      <c r="X24" s="1">
        <v>15</v>
      </c>
      <c r="Y24" s="1">
        <v>5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</row>
    <row r="25" spans="1:30">
      <c r="A25" s="1" t="s">
        <v>12</v>
      </c>
      <c r="B25" s="1" t="s">
        <v>13</v>
      </c>
      <c r="C25" s="1">
        <f t="shared" si="0"/>
        <v>2</v>
      </c>
      <c r="D25" s="1">
        <v>1</v>
      </c>
      <c r="E25" s="1">
        <v>1</v>
      </c>
      <c r="F25" s="1">
        <v>1</v>
      </c>
      <c r="G25" s="1">
        <v>0</v>
      </c>
      <c r="H25" s="1">
        <v>1</v>
      </c>
      <c r="I25" s="1">
        <v>1</v>
      </c>
      <c r="K25" s="1">
        <f t="shared" si="1"/>
        <v>1</v>
      </c>
      <c r="L25" s="1">
        <f t="shared" si="2"/>
        <v>4</v>
      </c>
      <c r="M25" s="1">
        <v>1</v>
      </c>
      <c r="N25" s="1">
        <v>1</v>
      </c>
      <c r="O25" s="1">
        <v>0</v>
      </c>
      <c r="Q25" s="1">
        <v>2</v>
      </c>
      <c r="R25" s="1">
        <f t="shared" si="3"/>
        <v>1</v>
      </c>
      <c r="S25" s="1">
        <v>3</v>
      </c>
      <c r="T25" s="1">
        <v>7</v>
      </c>
      <c r="U25" s="1">
        <f t="shared" si="4"/>
        <v>10</v>
      </c>
      <c r="V25" s="1">
        <v>4</v>
      </c>
      <c r="W25" s="1">
        <v>1</v>
      </c>
      <c r="X25" s="1">
        <v>15</v>
      </c>
      <c r="Y25" s="1">
        <v>8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</row>
    <row r="26" spans="1:30">
      <c r="A26" s="1" t="s">
        <v>26</v>
      </c>
      <c r="B26" s="1" t="s">
        <v>27</v>
      </c>
      <c r="C26" s="1">
        <f t="shared" si="0"/>
        <v>2</v>
      </c>
      <c r="D26" s="1">
        <v>1</v>
      </c>
      <c r="E26" s="1">
        <v>1</v>
      </c>
      <c r="F26" s="1">
        <v>1</v>
      </c>
      <c r="G26" s="1">
        <v>0</v>
      </c>
      <c r="H26" s="1">
        <v>1</v>
      </c>
      <c r="I26" s="1">
        <v>1</v>
      </c>
      <c r="K26" s="1">
        <f t="shared" si="1"/>
        <v>1</v>
      </c>
      <c r="L26" s="1">
        <f t="shared" si="2"/>
        <v>3</v>
      </c>
      <c r="M26" s="1">
        <v>0</v>
      </c>
      <c r="N26" s="1">
        <v>1</v>
      </c>
      <c r="O26" s="1">
        <v>0</v>
      </c>
      <c r="Q26" s="1">
        <v>2</v>
      </c>
      <c r="R26" s="1">
        <f t="shared" si="3"/>
        <v>1</v>
      </c>
      <c r="S26" s="1">
        <v>4</v>
      </c>
      <c r="T26" s="1">
        <v>6</v>
      </c>
      <c r="U26" s="1">
        <f t="shared" si="4"/>
        <v>10</v>
      </c>
      <c r="V26" s="1">
        <v>3</v>
      </c>
      <c r="W26" s="1">
        <v>1</v>
      </c>
      <c r="X26" s="1">
        <v>14</v>
      </c>
      <c r="Y26" s="1">
        <v>7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</row>
    <row r="27" spans="1:30">
      <c r="A27" s="1" t="s">
        <v>46</v>
      </c>
      <c r="B27" s="1" t="s">
        <v>47</v>
      </c>
      <c r="C27" s="1">
        <f t="shared" si="0"/>
        <v>2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K27" s="1">
        <f t="shared" si="1"/>
        <v>1</v>
      </c>
      <c r="L27" s="1">
        <f t="shared" si="2"/>
        <v>3</v>
      </c>
      <c r="M27" s="1">
        <v>0</v>
      </c>
      <c r="N27" s="1">
        <v>1</v>
      </c>
      <c r="O27" s="1">
        <v>0</v>
      </c>
      <c r="Q27" s="1">
        <v>2</v>
      </c>
      <c r="R27" s="1">
        <f t="shared" si="3"/>
        <v>1</v>
      </c>
      <c r="S27" s="1">
        <v>5</v>
      </c>
      <c r="T27" s="1">
        <v>5</v>
      </c>
      <c r="U27" s="1">
        <f t="shared" si="4"/>
        <v>10</v>
      </c>
      <c r="V27" s="1">
        <v>1</v>
      </c>
      <c r="W27" s="1">
        <v>1</v>
      </c>
      <c r="X27" s="1">
        <v>12</v>
      </c>
      <c r="Y27" s="1">
        <v>6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</row>
    <row r="28" spans="1:30">
      <c r="A28" s="1" t="s">
        <v>70</v>
      </c>
      <c r="B28" s="1" t="s">
        <v>71</v>
      </c>
      <c r="C28" s="1">
        <f t="shared" si="0"/>
        <v>2</v>
      </c>
      <c r="D28" s="1">
        <v>1</v>
      </c>
      <c r="E28" s="1">
        <v>1</v>
      </c>
      <c r="F28" s="1">
        <v>1</v>
      </c>
      <c r="G28" s="1">
        <v>0</v>
      </c>
      <c r="H28" s="1">
        <v>1</v>
      </c>
      <c r="I28" s="1">
        <v>1</v>
      </c>
      <c r="K28" s="1">
        <f t="shared" si="1"/>
        <v>1</v>
      </c>
      <c r="L28" s="1">
        <f t="shared" si="2"/>
        <v>3</v>
      </c>
      <c r="M28" s="1">
        <v>0</v>
      </c>
      <c r="N28" s="1">
        <v>0</v>
      </c>
      <c r="O28" s="1">
        <v>1</v>
      </c>
      <c r="Q28" s="1">
        <v>2</v>
      </c>
      <c r="R28" s="1">
        <f t="shared" si="3"/>
        <v>1</v>
      </c>
      <c r="S28" s="1">
        <v>5</v>
      </c>
      <c r="T28" s="1">
        <v>5</v>
      </c>
      <c r="U28" s="1">
        <f t="shared" si="4"/>
        <v>10</v>
      </c>
      <c r="V28" s="1">
        <v>1</v>
      </c>
      <c r="X28" s="1">
        <v>11</v>
      </c>
      <c r="Y28" s="1">
        <v>6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</row>
    <row r="29" spans="1:30">
      <c r="A29" s="1" t="s">
        <v>78</v>
      </c>
      <c r="B29" s="1" t="s">
        <v>79</v>
      </c>
      <c r="C29" s="1">
        <f t="shared" si="0"/>
        <v>2</v>
      </c>
      <c r="D29" s="1">
        <v>1</v>
      </c>
      <c r="E29" s="1">
        <v>1</v>
      </c>
      <c r="F29" s="1">
        <v>1</v>
      </c>
      <c r="G29" s="1">
        <v>0</v>
      </c>
      <c r="H29" s="1">
        <v>1</v>
      </c>
      <c r="I29" s="1">
        <v>0</v>
      </c>
      <c r="J29" s="1">
        <v>1</v>
      </c>
      <c r="K29" s="1">
        <f t="shared" si="1"/>
        <v>1</v>
      </c>
      <c r="L29" s="1">
        <f t="shared" si="2"/>
        <v>4</v>
      </c>
      <c r="M29" s="1">
        <v>1</v>
      </c>
      <c r="N29" s="1">
        <v>0</v>
      </c>
      <c r="O29" s="1">
        <v>1</v>
      </c>
      <c r="Q29" s="1">
        <v>2</v>
      </c>
      <c r="R29" s="1">
        <f t="shared" si="3"/>
        <v>1</v>
      </c>
      <c r="S29" s="1">
        <v>6</v>
      </c>
      <c r="T29" s="1">
        <v>4</v>
      </c>
      <c r="U29" s="1">
        <f t="shared" si="4"/>
        <v>10</v>
      </c>
      <c r="V29" s="1">
        <v>1</v>
      </c>
      <c r="X29" s="1">
        <v>11</v>
      </c>
      <c r="Y29" s="1">
        <v>5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</row>
    <row r="30" spans="1:30">
      <c r="A30" s="1" t="s">
        <v>59</v>
      </c>
      <c r="B30" s="1" t="s">
        <v>60</v>
      </c>
      <c r="C30" s="1">
        <f t="shared" si="0"/>
        <v>2</v>
      </c>
      <c r="D30" s="1">
        <v>1</v>
      </c>
      <c r="E30" s="1">
        <v>1</v>
      </c>
      <c r="F30" s="1">
        <v>1</v>
      </c>
      <c r="G30" s="1">
        <v>0</v>
      </c>
      <c r="H30" s="1">
        <v>1</v>
      </c>
      <c r="I30" s="1">
        <v>1</v>
      </c>
      <c r="K30" s="1">
        <f t="shared" si="1"/>
        <v>1</v>
      </c>
      <c r="L30" s="1">
        <f t="shared" si="2"/>
        <v>3</v>
      </c>
      <c r="M30" s="1">
        <v>1</v>
      </c>
      <c r="N30" s="1">
        <v>0</v>
      </c>
      <c r="O30" s="1">
        <v>0</v>
      </c>
      <c r="Q30" s="1">
        <v>2</v>
      </c>
      <c r="R30" s="1">
        <f t="shared" si="3"/>
        <v>1</v>
      </c>
      <c r="S30" s="1">
        <v>4</v>
      </c>
      <c r="T30" s="1">
        <v>6</v>
      </c>
      <c r="U30" s="1">
        <f t="shared" si="4"/>
        <v>10</v>
      </c>
      <c r="V30" s="1">
        <v>1.5</v>
      </c>
      <c r="X30" s="1">
        <v>11.5</v>
      </c>
      <c r="Y30" s="1">
        <v>7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</row>
    <row r="31" spans="1:30">
      <c r="A31" s="1" t="s">
        <v>61</v>
      </c>
      <c r="B31" s="1" t="s">
        <v>62</v>
      </c>
      <c r="C31" s="1">
        <f t="shared" si="0"/>
        <v>2</v>
      </c>
      <c r="D31" s="1">
        <v>1</v>
      </c>
      <c r="E31" s="1">
        <v>1</v>
      </c>
      <c r="F31" s="1">
        <v>1</v>
      </c>
      <c r="G31" s="1">
        <v>0</v>
      </c>
      <c r="H31" s="1">
        <v>1</v>
      </c>
      <c r="I31" s="1">
        <v>1</v>
      </c>
      <c r="K31" s="1">
        <f t="shared" si="1"/>
        <v>1</v>
      </c>
      <c r="L31" s="1">
        <f t="shared" si="2"/>
        <v>4</v>
      </c>
      <c r="M31" s="1">
        <v>0</v>
      </c>
      <c r="N31" s="1">
        <v>1</v>
      </c>
      <c r="O31" s="1">
        <v>1</v>
      </c>
      <c r="Q31" s="1">
        <v>2</v>
      </c>
      <c r="R31" s="1">
        <f t="shared" si="3"/>
        <v>1</v>
      </c>
      <c r="S31" s="1">
        <v>6</v>
      </c>
      <c r="T31" s="1">
        <v>3.5</v>
      </c>
      <c r="U31" s="1">
        <f t="shared" si="4"/>
        <v>9.5</v>
      </c>
      <c r="V31" s="1">
        <v>1</v>
      </c>
      <c r="W31" s="1">
        <v>1</v>
      </c>
      <c r="X31" s="1">
        <v>11.5</v>
      </c>
      <c r="Y31" s="1">
        <v>4.5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</row>
    <row r="32" spans="1:30">
      <c r="A32" s="1" t="s">
        <v>76</v>
      </c>
      <c r="B32" s="1" t="s">
        <v>77</v>
      </c>
      <c r="C32" s="1">
        <f t="shared" si="0"/>
        <v>2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K32" s="1">
        <f t="shared" si="1"/>
        <v>1</v>
      </c>
      <c r="L32" s="1">
        <f t="shared" si="2"/>
        <v>3</v>
      </c>
      <c r="M32" s="1">
        <v>1</v>
      </c>
      <c r="N32" s="1">
        <v>1</v>
      </c>
      <c r="O32" s="1">
        <v>1</v>
      </c>
      <c r="R32" s="1">
        <f t="shared" si="3"/>
        <v>1</v>
      </c>
      <c r="S32" s="1">
        <v>5</v>
      </c>
      <c r="T32" s="1">
        <v>4</v>
      </c>
      <c r="U32" s="1">
        <f t="shared" si="4"/>
        <v>9</v>
      </c>
      <c r="V32" s="1">
        <v>2</v>
      </c>
      <c r="X32" s="1">
        <v>11</v>
      </c>
      <c r="Y32" s="1">
        <v>5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</row>
    <row r="33" spans="1:30">
      <c r="A33" s="1" t="s">
        <v>96</v>
      </c>
      <c r="B33" s="1" t="s">
        <v>97</v>
      </c>
      <c r="C33" s="1">
        <f t="shared" si="0"/>
        <v>1</v>
      </c>
      <c r="D33" s="1">
        <v>1</v>
      </c>
      <c r="E33" s="1">
        <v>1</v>
      </c>
      <c r="F33" s="1">
        <v>1</v>
      </c>
      <c r="G33" s="1">
        <v>0</v>
      </c>
      <c r="H33" s="1">
        <v>1</v>
      </c>
      <c r="I33" s="1">
        <v>1</v>
      </c>
      <c r="K33" s="1">
        <f t="shared" si="1"/>
        <v>1</v>
      </c>
      <c r="L33" s="1">
        <f t="shared" si="2"/>
        <v>4</v>
      </c>
      <c r="M33" s="1">
        <v>0</v>
      </c>
      <c r="N33" s="1">
        <v>1</v>
      </c>
      <c r="O33" s="1">
        <v>1</v>
      </c>
      <c r="Q33" s="1">
        <v>2</v>
      </c>
      <c r="R33" s="1">
        <f t="shared" si="3"/>
        <v>1</v>
      </c>
      <c r="S33" s="1">
        <v>4</v>
      </c>
      <c r="T33" s="1">
        <v>5</v>
      </c>
      <c r="U33" s="1">
        <f t="shared" si="4"/>
        <v>9</v>
      </c>
      <c r="V33" s="1">
        <v>1</v>
      </c>
      <c r="X33" s="1">
        <v>10</v>
      </c>
      <c r="Y33" s="1">
        <v>6</v>
      </c>
      <c r="Z33" s="1">
        <v>1</v>
      </c>
      <c r="AA33" s="1">
        <v>1</v>
      </c>
      <c r="AB33" s="1">
        <v>0</v>
      </c>
      <c r="AC33" s="1">
        <v>0</v>
      </c>
      <c r="AD33" s="1">
        <v>1</v>
      </c>
    </row>
    <row r="34" spans="1:30">
      <c r="A34" s="1" t="s">
        <v>523</v>
      </c>
      <c r="B34" s="1" t="s">
        <v>110</v>
      </c>
      <c r="C34" s="1">
        <f t="shared" ref="C34:C59" si="5">(AD34+AC34)*R34</f>
        <v>1</v>
      </c>
      <c r="D34" s="1">
        <v>1</v>
      </c>
      <c r="E34" s="1">
        <v>1</v>
      </c>
      <c r="F34" s="1">
        <v>1</v>
      </c>
      <c r="G34" s="1">
        <v>0</v>
      </c>
      <c r="H34" s="1">
        <v>1</v>
      </c>
      <c r="I34" s="1">
        <v>1</v>
      </c>
      <c r="K34" s="1">
        <f t="shared" ref="K34:K59" si="6">IF(F34*(H34+J34)*(G34+I34+J34)&gt;0,1,0)</f>
        <v>1</v>
      </c>
      <c r="L34" s="1">
        <f t="shared" ref="L34:L59" si="7">SUM(M34:Q34)</f>
        <v>5</v>
      </c>
      <c r="M34" s="1">
        <v>1</v>
      </c>
      <c r="N34" s="1">
        <v>1</v>
      </c>
      <c r="O34" s="1">
        <v>1</v>
      </c>
      <c r="Q34" s="1">
        <v>2</v>
      </c>
      <c r="R34" s="1">
        <f t="shared" ref="R34:R59" si="8">IF(L34&gt;=3, 1, 0)</f>
        <v>1</v>
      </c>
      <c r="S34" s="1">
        <v>3</v>
      </c>
      <c r="T34" s="1">
        <v>6</v>
      </c>
      <c r="U34" s="1">
        <f t="shared" ref="U34:U59" si="9">T34+S34</f>
        <v>9</v>
      </c>
      <c r="V34" s="1">
        <v>0</v>
      </c>
      <c r="X34" s="1">
        <v>9</v>
      </c>
      <c r="Y34" s="1">
        <v>6</v>
      </c>
      <c r="Z34" s="1">
        <v>1</v>
      </c>
      <c r="AA34" s="1">
        <v>1</v>
      </c>
      <c r="AB34" s="1">
        <v>0</v>
      </c>
      <c r="AC34" s="1">
        <v>0</v>
      </c>
      <c r="AD34" s="1">
        <v>1</v>
      </c>
    </row>
    <row r="35" spans="1:30">
      <c r="A35" s="1" t="s">
        <v>117</v>
      </c>
      <c r="B35" s="1" t="s">
        <v>118</v>
      </c>
      <c r="C35" s="1">
        <f t="shared" si="5"/>
        <v>1</v>
      </c>
      <c r="D35" s="1">
        <v>1</v>
      </c>
      <c r="E35" s="1">
        <v>1</v>
      </c>
      <c r="F35" s="1">
        <v>1</v>
      </c>
      <c r="G35" s="1">
        <v>0</v>
      </c>
      <c r="H35" s="1">
        <v>1</v>
      </c>
      <c r="I35" s="1">
        <v>1</v>
      </c>
      <c r="K35" s="1">
        <f t="shared" si="6"/>
        <v>1</v>
      </c>
      <c r="L35" s="1">
        <f t="shared" si="7"/>
        <v>4</v>
      </c>
      <c r="M35" s="1">
        <v>1</v>
      </c>
      <c r="N35" s="1">
        <v>1</v>
      </c>
      <c r="O35" s="1">
        <v>0</v>
      </c>
      <c r="Q35" s="1">
        <v>2</v>
      </c>
      <c r="R35" s="1">
        <f t="shared" si="8"/>
        <v>1</v>
      </c>
      <c r="S35" s="1">
        <v>4</v>
      </c>
      <c r="T35" s="1">
        <v>5</v>
      </c>
      <c r="U35" s="1">
        <f t="shared" si="9"/>
        <v>9</v>
      </c>
      <c r="V35" s="1">
        <v>0</v>
      </c>
      <c r="X35" s="1">
        <v>9</v>
      </c>
      <c r="Y35" s="1">
        <v>5</v>
      </c>
      <c r="Z35" s="1">
        <v>1</v>
      </c>
      <c r="AA35" s="1">
        <v>1</v>
      </c>
      <c r="AB35" s="1">
        <v>0</v>
      </c>
      <c r="AC35" s="1">
        <v>0</v>
      </c>
      <c r="AD35" s="1">
        <v>1</v>
      </c>
    </row>
    <row r="36" spans="1:30">
      <c r="A36" s="1" t="s">
        <v>115</v>
      </c>
      <c r="B36" s="1" t="s">
        <v>116</v>
      </c>
      <c r="C36" s="1">
        <f t="shared" si="5"/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0</v>
      </c>
      <c r="K36" s="1">
        <f t="shared" si="6"/>
        <v>1</v>
      </c>
      <c r="L36" s="1">
        <f t="shared" si="7"/>
        <v>6</v>
      </c>
      <c r="M36" s="1">
        <v>1</v>
      </c>
      <c r="N36" s="1">
        <v>1</v>
      </c>
      <c r="O36" s="1">
        <v>1</v>
      </c>
      <c r="P36" s="1">
        <v>1</v>
      </c>
      <c r="Q36" s="1">
        <v>2</v>
      </c>
      <c r="R36" s="1">
        <f t="shared" si="8"/>
        <v>1</v>
      </c>
      <c r="S36" s="1">
        <v>4</v>
      </c>
      <c r="T36" s="1">
        <v>5</v>
      </c>
      <c r="U36" s="1">
        <f t="shared" si="9"/>
        <v>9</v>
      </c>
      <c r="V36" s="1">
        <v>0</v>
      </c>
      <c r="X36" s="1">
        <v>9</v>
      </c>
      <c r="Y36" s="1">
        <v>5</v>
      </c>
      <c r="Z36" s="1">
        <v>1</v>
      </c>
      <c r="AA36" s="1">
        <v>1</v>
      </c>
      <c r="AB36" s="1">
        <v>0</v>
      </c>
      <c r="AC36" s="1">
        <v>0</v>
      </c>
      <c r="AD36" s="1">
        <v>1</v>
      </c>
    </row>
    <row r="37" spans="1:30">
      <c r="A37" s="1" t="s">
        <v>55</v>
      </c>
      <c r="B37" s="1" t="s">
        <v>56</v>
      </c>
      <c r="C37" s="1">
        <f t="shared" si="5"/>
        <v>2</v>
      </c>
      <c r="D37" s="1">
        <v>1</v>
      </c>
      <c r="E37" s="1">
        <v>1</v>
      </c>
      <c r="F37" s="1">
        <v>1</v>
      </c>
      <c r="G37" s="1">
        <v>0</v>
      </c>
      <c r="H37" s="1">
        <v>0</v>
      </c>
      <c r="I37" s="1">
        <v>0</v>
      </c>
      <c r="J37" s="1">
        <v>1</v>
      </c>
      <c r="K37" s="1">
        <f t="shared" si="6"/>
        <v>1</v>
      </c>
      <c r="L37" s="1">
        <f t="shared" si="7"/>
        <v>3</v>
      </c>
      <c r="M37" s="1">
        <v>0</v>
      </c>
      <c r="N37" s="1">
        <v>1</v>
      </c>
      <c r="O37" s="1">
        <v>0</v>
      </c>
      <c r="Q37" s="1">
        <v>2</v>
      </c>
      <c r="R37" s="1">
        <f t="shared" si="8"/>
        <v>1</v>
      </c>
      <c r="S37" s="1">
        <v>5</v>
      </c>
      <c r="T37" s="1">
        <v>4</v>
      </c>
      <c r="U37" s="1">
        <f t="shared" si="9"/>
        <v>9</v>
      </c>
      <c r="V37" s="1">
        <v>3</v>
      </c>
      <c r="X37" s="1">
        <v>12</v>
      </c>
      <c r="Y37" s="1">
        <v>5</v>
      </c>
      <c r="Z37" s="1">
        <v>1</v>
      </c>
      <c r="AA37" s="1">
        <v>1</v>
      </c>
      <c r="AB37" s="1">
        <v>1</v>
      </c>
      <c r="AC37" s="1">
        <v>1</v>
      </c>
      <c r="AD37" s="1">
        <v>1</v>
      </c>
    </row>
    <row r="38" spans="1:30">
      <c r="A38" s="1" t="s">
        <v>42</v>
      </c>
      <c r="B38" s="1" t="s">
        <v>43</v>
      </c>
      <c r="C38" s="1">
        <f t="shared" si="5"/>
        <v>2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0</v>
      </c>
      <c r="K38" s="1">
        <f t="shared" si="6"/>
        <v>1</v>
      </c>
      <c r="L38" s="1">
        <f t="shared" si="7"/>
        <v>5</v>
      </c>
      <c r="M38" s="1">
        <v>1</v>
      </c>
      <c r="N38" s="1">
        <v>1</v>
      </c>
      <c r="O38" s="1">
        <v>1</v>
      </c>
      <c r="Q38" s="1">
        <v>2</v>
      </c>
      <c r="R38" s="1">
        <f t="shared" si="8"/>
        <v>1</v>
      </c>
      <c r="S38" s="1">
        <v>4</v>
      </c>
      <c r="T38" s="1">
        <v>4</v>
      </c>
      <c r="U38" s="1">
        <f t="shared" si="9"/>
        <v>8</v>
      </c>
      <c r="V38" s="1">
        <v>5</v>
      </c>
      <c r="W38" s="1">
        <v>1</v>
      </c>
      <c r="X38" s="1">
        <v>13</v>
      </c>
      <c r="Y38" s="1">
        <v>5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</row>
    <row r="39" spans="1:30">
      <c r="A39" s="1" t="s">
        <v>88</v>
      </c>
      <c r="B39" s="1" t="s">
        <v>89</v>
      </c>
      <c r="C39" s="1">
        <f t="shared" si="5"/>
        <v>2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K39" s="1">
        <f t="shared" si="6"/>
        <v>1</v>
      </c>
      <c r="L39" s="1">
        <f t="shared" si="7"/>
        <v>3</v>
      </c>
      <c r="M39" s="1">
        <v>0</v>
      </c>
      <c r="N39" s="1">
        <v>0</v>
      </c>
      <c r="O39" s="1">
        <v>1</v>
      </c>
      <c r="Q39" s="1">
        <v>2</v>
      </c>
      <c r="R39" s="1">
        <f t="shared" si="8"/>
        <v>1</v>
      </c>
      <c r="S39" s="1">
        <v>5</v>
      </c>
      <c r="T39" s="1">
        <v>3</v>
      </c>
      <c r="U39" s="1">
        <f t="shared" si="9"/>
        <v>8</v>
      </c>
      <c r="V39" s="1">
        <v>2</v>
      </c>
      <c r="W39" s="1">
        <v>1</v>
      </c>
      <c r="X39" s="1">
        <v>11</v>
      </c>
      <c r="Y39" s="1">
        <v>4</v>
      </c>
      <c r="Z39" s="1">
        <v>1</v>
      </c>
      <c r="AA39" s="1">
        <v>1</v>
      </c>
      <c r="AB39" s="1">
        <v>1</v>
      </c>
      <c r="AC39" s="1">
        <v>1</v>
      </c>
      <c r="AD39" s="1">
        <v>1</v>
      </c>
    </row>
    <row r="40" spans="1:30">
      <c r="A40" s="1" t="s">
        <v>98</v>
      </c>
      <c r="B40" s="1" t="s">
        <v>99</v>
      </c>
      <c r="C40" s="1">
        <f t="shared" si="5"/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K40" s="1">
        <f t="shared" si="6"/>
        <v>1</v>
      </c>
      <c r="L40" s="1">
        <f t="shared" si="7"/>
        <v>4</v>
      </c>
      <c r="M40" s="1">
        <v>1</v>
      </c>
      <c r="N40" s="1">
        <v>0</v>
      </c>
      <c r="O40" s="1">
        <v>0</v>
      </c>
      <c r="P40" s="1">
        <v>1</v>
      </c>
      <c r="Q40" s="1">
        <v>2</v>
      </c>
      <c r="R40" s="1">
        <f t="shared" si="8"/>
        <v>1</v>
      </c>
      <c r="S40" s="1">
        <v>3</v>
      </c>
      <c r="T40" s="1">
        <v>5</v>
      </c>
      <c r="U40" s="1">
        <f t="shared" si="9"/>
        <v>8</v>
      </c>
      <c r="V40" s="1">
        <v>2</v>
      </c>
      <c r="X40" s="1">
        <v>10</v>
      </c>
      <c r="Y40" s="1">
        <v>6</v>
      </c>
      <c r="Z40" s="1">
        <v>1</v>
      </c>
      <c r="AA40" s="1">
        <v>1</v>
      </c>
      <c r="AB40" s="1">
        <v>0</v>
      </c>
      <c r="AC40" s="1">
        <v>0</v>
      </c>
      <c r="AD40" s="1">
        <v>1</v>
      </c>
    </row>
    <row r="41" spans="1:30">
      <c r="A41" s="1" t="s">
        <v>111</v>
      </c>
      <c r="B41" s="1" t="s">
        <v>112</v>
      </c>
      <c r="C41" s="1">
        <f t="shared" si="5"/>
        <v>1</v>
      </c>
      <c r="D41" s="1">
        <v>1</v>
      </c>
      <c r="E41" s="1">
        <v>1</v>
      </c>
      <c r="F41" s="1">
        <v>1</v>
      </c>
      <c r="G41" s="1">
        <v>0</v>
      </c>
      <c r="H41" s="1">
        <v>1</v>
      </c>
      <c r="I41" s="1">
        <v>1</v>
      </c>
      <c r="K41" s="1">
        <f t="shared" si="6"/>
        <v>1</v>
      </c>
      <c r="L41" s="1">
        <f t="shared" si="7"/>
        <v>4</v>
      </c>
      <c r="M41" s="1">
        <v>0</v>
      </c>
      <c r="N41" s="1">
        <v>1</v>
      </c>
      <c r="O41" s="1">
        <v>1</v>
      </c>
      <c r="Q41" s="1">
        <v>2</v>
      </c>
      <c r="R41" s="1">
        <f t="shared" si="8"/>
        <v>1</v>
      </c>
      <c r="S41" s="1">
        <v>3</v>
      </c>
      <c r="T41" s="1">
        <v>5</v>
      </c>
      <c r="U41" s="1">
        <f t="shared" si="9"/>
        <v>8</v>
      </c>
      <c r="V41" s="1">
        <v>1</v>
      </c>
      <c r="X41" s="1">
        <v>9</v>
      </c>
      <c r="Y41" s="1">
        <v>6</v>
      </c>
      <c r="Z41" s="1">
        <v>1</v>
      </c>
      <c r="AA41" s="1">
        <v>1</v>
      </c>
      <c r="AB41" s="1">
        <v>0</v>
      </c>
      <c r="AC41" s="1">
        <v>0</v>
      </c>
      <c r="AD41" s="1">
        <v>1</v>
      </c>
    </row>
    <row r="42" spans="1:30">
      <c r="A42" s="1" t="s">
        <v>67</v>
      </c>
      <c r="B42" s="1" t="s">
        <v>68</v>
      </c>
      <c r="C42" s="1">
        <f t="shared" si="5"/>
        <v>2</v>
      </c>
      <c r="D42" s="1">
        <v>1</v>
      </c>
      <c r="E42" s="1">
        <v>1</v>
      </c>
      <c r="F42" s="1">
        <v>1</v>
      </c>
      <c r="G42" s="1">
        <v>0</v>
      </c>
      <c r="H42" s="1">
        <v>1</v>
      </c>
      <c r="I42" s="1">
        <v>0</v>
      </c>
      <c r="J42" s="1">
        <v>1</v>
      </c>
      <c r="K42" s="1">
        <f t="shared" si="6"/>
        <v>1</v>
      </c>
      <c r="L42" s="1">
        <f t="shared" si="7"/>
        <v>4</v>
      </c>
      <c r="M42" s="1">
        <v>0</v>
      </c>
      <c r="N42" s="1">
        <v>0</v>
      </c>
      <c r="O42" s="1">
        <v>1</v>
      </c>
      <c r="P42" s="1">
        <v>1</v>
      </c>
      <c r="Q42" s="1">
        <v>2</v>
      </c>
      <c r="R42" s="1">
        <f t="shared" si="8"/>
        <v>1</v>
      </c>
      <c r="S42" s="1">
        <v>1</v>
      </c>
      <c r="T42" s="1">
        <v>7</v>
      </c>
      <c r="U42" s="1">
        <f t="shared" si="9"/>
        <v>8</v>
      </c>
      <c r="V42" s="1">
        <v>3</v>
      </c>
      <c r="X42" s="1">
        <v>11</v>
      </c>
      <c r="Y42" s="1">
        <v>8</v>
      </c>
      <c r="Z42" s="1">
        <v>1</v>
      </c>
      <c r="AA42" s="1">
        <v>1</v>
      </c>
      <c r="AB42" s="1">
        <v>1</v>
      </c>
      <c r="AC42" s="1">
        <v>1</v>
      </c>
      <c r="AD42" s="1">
        <v>1</v>
      </c>
    </row>
    <row r="43" spans="1:30">
      <c r="A43" s="1">
        <v>3000</v>
      </c>
      <c r="B43" s="1" t="s">
        <v>69</v>
      </c>
      <c r="C43" s="1">
        <f t="shared" si="5"/>
        <v>2</v>
      </c>
      <c r="D43" s="1">
        <v>1</v>
      </c>
      <c r="E43" s="1">
        <v>1</v>
      </c>
      <c r="F43" s="1">
        <v>1</v>
      </c>
      <c r="G43" s="1">
        <v>0</v>
      </c>
      <c r="H43" s="1">
        <v>0</v>
      </c>
      <c r="I43" s="1">
        <v>0</v>
      </c>
      <c r="J43" s="1">
        <v>1</v>
      </c>
      <c r="K43" s="1">
        <f t="shared" si="6"/>
        <v>1</v>
      </c>
      <c r="L43" s="1">
        <f t="shared" si="7"/>
        <v>3</v>
      </c>
      <c r="M43" s="1">
        <v>0</v>
      </c>
      <c r="N43" s="1">
        <v>0</v>
      </c>
      <c r="O43" s="1">
        <v>1</v>
      </c>
      <c r="Q43" s="1">
        <v>2</v>
      </c>
      <c r="R43" s="1">
        <f t="shared" si="8"/>
        <v>1</v>
      </c>
      <c r="S43" s="1">
        <v>2</v>
      </c>
      <c r="T43" s="1">
        <v>6</v>
      </c>
      <c r="U43" s="1">
        <f t="shared" si="9"/>
        <v>8</v>
      </c>
      <c r="V43" s="1">
        <v>3</v>
      </c>
      <c r="X43" s="1">
        <v>11</v>
      </c>
      <c r="Y43" s="1">
        <v>7</v>
      </c>
      <c r="Z43" s="1">
        <v>1</v>
      </c>
      <c r="AA43" s="1">
        <v>1</v>
      </c>
      <c r="AB43" s="1">
        <v>1</v>
      </c>
      <c r="AC43" s="1">
        <v>1</v>
      </c>
      <c r="AD43" s="1">
        <v>1</v>
      </c>
    </row>
    <row r="44" spans="1:30">
      <c r="A44" s="1" t="s">
        <v>106</v>
      </c>
      <c r="B44" s="1" t="s">
        <v>107</v>
      </c>
      <c r="C44" s="1">
        <f t="shared" si="5"/>
        <v>1</v>
      </c>
      <c r="D44" s="1">
        <v>1</v>
      </c>
      <c r="E44" s="1">
        <v>1</v>
      </c>
      <c r="F44" s="1">
        <v>1</v>
      </c>
      <c r="G44" s="1">
        <v>0</v>
      </c>
      <c r="H44" s="1">
        <v>1</v>
      </c>
      <c r="I44" s="1">
        <v>0</v>
      </c>
      <c r="J44" s="1">
        <v>1</v>
      </c>
      <c r="K44" s="1">
        <f t="shared" si="6"/>
        <v>1</v>
      </c>
      <c r="L44" s="1">
        <f t="shared" si="7"/>
        <v>5</v>
      </c>
      <c r="M44" s="1">
        <v>1</v>
      </c>
      <c r="N44" s="1">
        <v>1</v>
      </c>
      <c r="O44" s="1">
        <v>1</v>
      </c>
      <c r="Q44" s="1">
        <v>2</v>
      </c>
      <c r="R44" s="1">
        <f t="shared" si="8"/>
        <v>1</v>
      </c>
      <c r="S44" s="1">
        <v>5</v>
      </c>
      <c r="T44" s="1">
        <v>3</v>
      </c>
      <c r="U44" s="1">
        <f t="shared" si="9"/>
        <v>8</v>
      </c>
      <c r="V44" s="1">
        <v>2</v>
      </c>
      <c r="X44" s="1">
        <v>10</v>
      </c>
      <c r="Y44" s="1">
        <v>4</v>
      </c>
      <c r="Z44" s="1">
        <v>1</v>
      </c>
      <c r="AA44" s="1">
        <v>1</v>
      </c>
      <c r="AB44" s="1">
        <v>0</v>
      </c>
      <c r="AC44" s="1">
        <v>0</v>
      </c>
      <c r="AD44" s="1">
        <v>1</v>
      </c>
    </row>
    <row r="45" spans="1:30">
      <c r="A45" s="1" t="s">
        <v>90</v>
      </c>
      <c r="B45" s="1" t="s">
        <v>91</v>
      </c>
      <c r="C45" s="1">
        <f t="shared" si="5"/>
        <v>2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K45" s="1">
        <f t="shared" si="6"/>
        <v>1</v>
      </c>
      <c r="L45" s="1">
        <f t="shared" si="7"/>
        <v>5</v>
      </c>
      <c r="M45" s="1">
        <v>1</v>
      </c>
      <c r="N45" s="1">
        <v>0</v>
      </c>
      <c r="O45" s="1">
        <v>1</v>
      </c>
      <c r="P45" s="1">
        <v>1</v>
      </c>
      <c r="Q45" s="1">
        <v>2</v>
      </c>
      <c r="R45" s="1">
        <f t="shared" si="8"/>
        <v>1</v>
      </c>
      <c r="S45" s="1">
        <v>5</v>
      </c>
      <c r="T45" s="1">
        <v>3</v>
      </c>
      <c r="U45" s="1">
        <f t="shared" si="9"/>
        <v>8</v>
      </c>
      <c r="V45" s="1">
        <v>1</v>
      </c>
      <c r="W45" s="1">
        <v>2</v>
      </c>
      <c r="X45" s="1">
        <v>11</v>
      </c>
      <c r="Y45" s="1">
        <v>4</v>
      </c>
      <c r="Z45" s="1">
        <v>1</v>
      </c>
      <c r="AA45" s="1">
        <v>1</v>
      </c>
      <c r="AB45" s="1">
        <v>1</v>
      </c>
      <c r="AC45" s="1">
        <v>1</v>
      </c>
      <c r="AD45" s="1">
        <v>1</v>
      </c>
    </row>
    <row r="46" spans="1:30">
      <c r="A46" s="1" t="s">
        <v>57</v>
      </c>
      <c r="B46" s="1" t="s">
        <v>58</v>
      </c>
      <c r="C46" s="1">
        <f t="shared" si="5"/>
        <v>2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K46" s="1">
        <f t="shared" si="6"/>
        <v>1</v>
      </c>
      <c r="L46" s="1">
        <f t="shared" si="7"/>
        <v>6</v>
      </c>
      <c r="M46" s="1">
        <v>1</v>
      </c>
      <c r="N46" s="1">
        <v>1</v>
      </c>
      <c r="O46" s="1">
        <v>1</v>
      </c>
      <c r="P46" s="1">
        <v>1</v>
      </c>
      <c r="Q46" s="1">
        <v>2</v>
      </c>
      <c r="R46" s="1">
        <f t="shared" si="8"/>
        <v>1</v>
      </c>
      <c r="S46" s="1">
        <v>3</v>
      </c>
      <c r="T46" s="1">
        <v>4</v>
      </c>
      <c r="U46" s="1">
        <f t="shared" si="9"/>
        <v>7</v>
      </c>
      <c r="V46" s="1">
        <v>4</v>
      </c>
      <c r="W46" s="1">
        <v>1</v>
      </c>
      <c r="X46" s="1">
        <v>12</v>
      </c>
      <c r="Y46" s="1">
        <v>5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</row>
    <row r="47" spans="1:30">
      <c r="A47" s="1" t="s">
        <v>74</v>
      </c>
      <c r="B47" s="1" t="s">
        <v>75</v>
      </c>
      <c r="C47" s="1">
        <f t="shared" si="5"/>
        <v>2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K47" s="1">
        <f t="shared" si="6"/>
        <v>1</v>
      </c>
      <c r="L47" s="1">
        <f t="shared" si="7"/>
        <v>4</v>
      </c>
      <c r="M47" s="1">
        <v>0</v>
      </c>
      <c r="N47" s="1">
        <v>0</v>
      </c>
      <c r="O47" s="1">
        <v>0</v>
      </c>
      <c r="P47" s="1">
        <v>2</v>
      </c>
      <c r="Q47" s="1">
        <v>2</v>
      </c>
      <c r="R47" s="1">
        <f t="shared" si="8"/>
        <v>1</v>
      </c>
      <c r="S47" s="1">
        <v>2</v>
      </c>
      <c r="T47" s="1">
        <v>5</v>
      </c>
      <c r="U47" s="1">
        <f t="shared" si="9"/>
        <v>7</v>
      </c>
      <c r="V47" s="1">
        <v>4</v>
      </c>
      <c r="X47" s="1">
        <v>11</v>
      </c>
      <c r="Y47" s="1">
        <v>6</v>
      </c>
      <c r="Z47" s="1">
        <v>1</v>
      </c>
      <c r="AA47" s="1">
        <v>1</v>
      </c>
      <c r="AB47" s="1">
        <v>1</v>
      </c>
      <c r="AC47" s="1">
        <v>1</v>
      </c>
      <c r="AD47" s="1">
        <v>1</v>
      </c>
    </row>
    <row r="48" spans="1:30">
      <c r="A48" s="1" t="s">
        <v>82</v>
      </c>
      <c r="B48" s="1" t="s">
        <v>83</v>
      </c>
      <c r="C48" s="1">
        <f t="shared" si="5"/>
        <v>2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K48" s="1">
        <f t="shared" si="6"/>
        <v>1</v>
      </c>
      <c r="L48" s="1">
        <f t="shared" si="7"/>
        <v>5</v>
      </c>
      <c r="M48" s="1">
        <v>1</v>
      </c>
      <c r="N48" s="1">
        <v>1</v>
      </c>
      <c r="O48" s="1">
        <v>1</v>
      </c>
      <c r="Q48" s="1">
        <v>2</v>
      </c>
      <c r="R48" s="1">
        <f t="shared" si="8"/>
        <v>1</v>
      </c>
      <c r="S48" s="1">
        <v>3</v>
      </c>
      <c r="T48" s="1">
        <v>4</v>
      </c>
      <c r="U48" s="1">
        <f t="shared" si="9"/>
        <v>7</v>
      </c>
      <c r="V48" s="1">
        <v>4</v>
      </c>
      <c r="X48" s="1">
        <v>11</v>
      </c>
      <c r="Y48" s="1">
        <v>5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</row>
    <row r="49" spans="1:30">
      <c r="A49" s="1" t="s">
        <v>86</v>
      </c>
      <c r="B49" s="1" t="s">
        <v>87</v>
      </c>
      <c r="C49" s="1">
        <f t="shared" si="5"/>
        <v>2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K49" s="1">
        <f t="shared" si="6"/>
        <v>1</v>
      </c>
      <c r="L49" s="1">
        <f t="shared" si="7"/>
        <v>5</v>
      </c>
      <c r="M49" s="1">
        <v>1</v>
      </c>
      <c r="N49" s="1">
        <v>1</v>
      </c>
      <c r="O49" s="1">
        <v>1</v>
      </c>
      <c r="Q49" s="1">
        <v>2</v>
      </c>
      <c r="R49" s="1">
        <f t="shared" si="8"/>
        <v>1</v>
      </c>
      <c r="S49" s="1">
        <v>4</v>
      </c>
      <c r="T49" s="1">
        <v>3</v>
      </c>
      <c r="U49" s="1">
        <f t="shared" si="9"/>
        <v>7</v>
      </c>
      <c r="V49" s="1">
        <v>3</v>
      </c>
      <c r="W49" s="1">
        <v>1</v>
      </c>
      <c r="X49" s="1">
        <v>11</v>
      </c>
      <c r="Y49" s="1">
        <v>4</v>
      </c>
      <c r="Z49" s="1">
        <v>1</v>
      </c>
      <c r="AA49" s="1">
        <v>1</v>
      </c>
      <c r="AB49" s="1">
        <v>1</v>
      </c>
      <c r="AC49" s="1">
        <v>1</v>
      </c>
      <c r="AD49" s="1">
        <v>1</v>
      </c>
    </row>
    <row r="50" spans="1:30">
      <c r="A50" s="1" t="s">
        <v>65</v>
      </c>
      <c r="B50" s="1" t="s">
        <v>66</v>
      </c>
      <c r="C50" s="1">
        <f t="shared" si="5"/>
        <v>2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K50" s="1">
        <f t="shared" si="6"/>
        <v>1</v>
      </c>
      <c r="L50" s="1">
        <f t="shared" si="7"/>
        <v>3</v>
      </c>
      <c r="M50" s="1">
        <v>0</v>
      </c>
      <c r="N50" s="1">
        <v>1</v>
      </c>
      <c r="O50" s="1">
        <v>0</v>
      </c>
      <c r="Q50" s="1">
        <v>2</v>
      </c>
      <c r="R50" s="1">
        <f t="shared" si="8"/>
        <v>1</v>
      </c>
      <c r="S50" s="1">
        <v>0</v>
      </c>
      <c r="T50" s="1">
        <v>7</v>
      </c>
      <c r="U50" s="1">
        <f t="shared" si="9"/>
        <v>7</v>
      </c>
      <c r="V50" s="1">
        <v>3</v>
      </c>
      <c r="W50" s="1">
        <v>1</v>
      </c>
      <c r="X50" s="1">
        <v>11</v>
      </c>
      <c r="Y50" s="1">
        <v>8</v>
      </c>
      <c r="Z50" s="1">
        <v>1</v>
      </c>
      <c r="AA50" s="1">
        <v>1</v>
      </c>
      <c r="AB50" s="1">
        <v>1</v>
      </c>
      <c r="AC50" s="1">
        <v>1</v>
      </c>
      <c r="AD50" s="1">
        <v>1</v>
      </c>
    </row>
    <row r="51" spans="1:30">
      <c r="A51" s="1" t="s">
        <v>100</v>
      </c>
      <c r="B51" s="1" t="s">
        <v>101</v>
      </c>
      <c r="C51" s="1">
        <f t="shared" si="5"/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0</v>
      </c>
      <c r="K51" s="1">
        <f t="shared" si="6"/>
        <v>1</v>
      </c>
      <c r="L51" s="1">
        <f t="shared" si="7"/>
        <v>3</v>
      </c>
      <c r="M51" s="1">
        <v>0</v>
      </c>
      <c r="N51" s="1">
        <v>1</v>
      </c>
      <c r="O51" s="1">
        <v>0</v>
      </c>
      <c r="Q51" s="1">
        <v>2</v>
      </c>
      <c r="R51" s="1">
        <f t="shared" si="8"/>
        <v>1</v>
      </c>
      <c r="S51" s="1">
        <v>2</v>
      </c>
      <c r="T51" s="1">
        <v>5</v>
      </c>
      <c r="U51" s="1">
        <f t="shared" si="9"/>
        <v>7</v>
      </c>
      <c r="V51" s="1">
        <v>3</v>
      </c>
      <c r="X51" s="1">
        <v>10</v>
      </c>
      <c r="Y51" s="1">
        <v>6</v>
      </c>
      <c r="Z51" s="1">
        <v>1</v>
      </c>
      <c r="AA51" s="1">
        <v>1</v>
      </c>
      <c r="AB51" s="1">
        <v>0</v>
      </c>
      <c r="AC51" s="1">
        <v>0</v>
      </c>
      <c r="AD51" s="1">
        <v>1</v>
      </c>
    </row>
    <row r="52" spans="1:30">
      <c r="A52" s="1" t="s">
        <v>104</v>
      </c>
      <c r="B52" s="1" t="s">
        <v>105</v>
      </c>
      <c r="C52" s="1">
        <f t="shared" si="5"/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K52" s="1">
        <f t="shared" si="6"/>
        <v>1</v>
      </c>
      <c r="L52" s="1">
        <f t="shared" si="7"/>
        <v>4</v>
      </c>
      <c r="M52" s="1">
        <v>0</v>
      </c>
      <c r="N52" s="1">
        <v>0</v>
      </c>
      <c r="O52" s="1">
        <v>1</v>
      </c>
      <c r="P52" s="1">
        <v>1</v>
      </c>
      <c r="Q52" s="1">
        <v>2</v>
      </c>
      <c r="R52" s="1">
        <f t="shared" si="8"/>
        <v>1</v>
      </c>
      <c r="S52" s="1">
        <v>3</v>
      </c>
      <c r="T52" s="1">
        <v>4</v>
      </c>
      <c r="U52" s="1">
        <f t="shared" si="9"/>
        <v>7</v>
      </c>
      <c r="V52" s="1">
        <v>3</v>
      </c>
      <c r="X52" s="1">
        <v>10</v>
      </c>
      <c r="Y52" s="1">
        <v>5</v>
      </c>
      <c r="Z52" s="1">
        <v>1</v>
      </c>
      <c r="AA52" s="1">
        <v>1</v>
      </c>
      <c r="AB52" s="1">
        <v>0</v>
      </c>
      <c r="AC52" s="1">
        <v>0</v>
      </c>
      <c r="AD52" s="1">
        <v>1</v>
      </c>
    </row>
    <row r="53" spans="1:30">
      <c r="A53" s="1" t="s">
        <v>108</v>
      </c>
      <c r="B53" s="1" t="s">
        <v>109</v>
      </c>
      <c r="C53" s="1">
        <f t="shared" si="5"/>
        <v>1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K53" s="1">
        <f t="shared" si="6"/>
        <v>1</v>
      </c>
      <c r="L53" s="1">
        <f t="shared" si="7"/>
        <v>4</v>
      </c>
      <c r="M53" s="1">
        <v>0</v>
      </c>
      <c r="N53" s="1">
        <v>1</v>
      </c>
      <c r="O53" s="1">
        <v>1</v>
      </c>
      <c r="Q53" s="1">
        <v>2</v>
      </c>
      <c r="R53" s="1">
        <f t="shared" si="8"/>
        <v>1</v>
      </c>
      <c r="S53" s="1">
        <v>1</v>
      </c>
      <c r="T53" s="1">
        <v>6</v>
      </c>
      <c r="U53" s="1">
        <f t="shared" si="9"/>
        <v>7</v>
      </c>
      <c r="V53" s="1">
        <v>2</v>
      </c>
      <c r="X53" s="1">
        <v>9</v>
      </c>
      <c r="Y53" s="1">
        <v>7</v>
      </c>
      <c r="Z53" s="1">
        <v>1</v>
      </c>
      <c r="AA53" s="1">
        <v>1</v>
      </c>
      <c r="AB53" s="1">
        <v>0</v>
      </c>
      <c r="AC53" s="1">
        <v>0</v>
      </c>
      <c r="AD53" s="1">
        <v>1</v>
      </c>
    </row>
    <row r="54" spans="1:30">
      <c r="A54" s="1" t="s">
        <v>119</v>
      </c>
      <c r="B54" s="1" t="s">
        <v>120</v>
      </c>
      <c r="C54" s="1">
        <f t="shared" si="5"/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K54" s="1">
        <f t="shared" si="6"/>
        <v>1</v>
      </c>
      <c r="L54" s="1">
        <f t="shared" si="7"/>
        <v>6</v>
      </c>
      <c r="M54" s="1">
        <v>1</v>
      </c>
      <c r="N54" s="1">
        <v>1</v>
      </c>
      <c r="O54" s="1">
        <v>1</v>
      </c>
      <c r="P54" s="1">
        <v>1</v>
      </c>
      <c r="Q54" s="1">
        <v>2</v>
      </c>
      <c r="R54" s="1">
        <f t="shared" si="8"/>
        <v>1</v>
      </c>
      <c r="S54" s="1">
        <v>3</v>
      </c>
      <c r="T54" s="1">
        <v>4</v>
      </c>
      <c r="U54" s="1">
        <f t="shared" si="9"/>
        <v>7</v>
      </c>
      <c r="V54" s="1">
        <v>2</v>
      </c>
      <c r="X54" s="1">
        <v>9</v>
      </c>
      <c r="Y54" s="1">
        <v>5</v>
      </c>
      <c r="Z54" s="1">
        <v>1</v>
      </c>
      <c r="AA54" s="1">
        <v>1</v>
      </c>
      <c r="AB54" s="1">
        <v>0</v>
      </c>
      <c r="AC54" s="1">
        <v>0</v>
      </c>
      <c r="AD54" s="1">
        <v>1</v>
      </c>
    </row>
    <row r="55" spans="1:30">
      <c r="A55" s="1" t="s">
        <v>63</v>
      </c>
      <c r="B55" s="1" t="s">
        <v>64</v>
      </c>
      <c r="C55" s="1">
        <f t="shared" si="5"/>
        <v>2</v>
      </c>
      <c r="D55" s="1">
        <v>1</v>
      </c>
      <c r="E55" s="1">
        <v>1</v>
      </c>
      <c r="F55" s="1">
        <v>1</v>
      </c>
      <c r="G55" s="1">
        <v>1</v>
      </c>
      <c r="H55" s="1">
        <v>0</v>
      </c>
      <c r="I55" s="1">
        <v>0</v>
      </c>
      <c r="J55" s="1">
        <v>1</v>
      </c>
      <c r="K55" s="1">
        <f t="shared" si="6"/>
        <v>1</v>
      </c>
      <c r="L55" s="1">
        <f t="shared" si="7"/>
        <v>4</v>
      </c>
      <c r="M55" s="1">
        <v>1</v>
      </c>
      <c r="N55" s="1">
        <v>0</v>
      </c>
      <c r="O55" s="1">
        <v>1</v>
      </c>
      <c r="Q55" s="1">
        <v>2</v>
      </c>
      <c r="R55" s="1">
        <f t="shared" si="8"/>
        <v>1</v>
      </c>
      <c r="S55" s="1">
        <v>3.5</v>
      </c>
      <c r="T55" s="1">
        <v>3</v>
      </c>
      <c r="U55" s="1">
        <f t="shared" si="9"/>
        <v>6.5</v>
      </c>
      <c r="V55" s="1">
        <v>7</v>
      </c>
      <c r="W55" s="1">
        <v>1</v>
      </c>
      <c r="X55" s="1">
        <v>11.5</v>
      </c>
      <c r="Y55" s="1">
        <v>4</v>
      </c>
      <c r="Z55" s="1">
        <v>1</v>
      </c>
      <c r="AA55" s="1">
        <v>1</v>
      </c>
      <c r="AB55" s="1">
        <v>1</v>
      </c>
      <c r="AC55" s="1">
        <v>1</v>
      </c>
      <c r="AD55" s="1">
        <v>1</v>
      </c>
    </row>
    <row r="56" spans="1:30">
      <c r="A56" s="1" t="s">
        <v>92</v>
      </c>
      <c r="B56" s="1" t="s">
        <v>93</v>
      </c>
      <c r="C56" s="1">
        <f t="shared" si="5"/>
        <v>2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0</v>
      </c>
      <c r="K56" s="1">
        <f t="shared" si="6"/>
        <v>1</v>
      </c>
      <c r="L56" s="1">
        <f t="shared" si="7"/>
        <v>4</v>
      </c>
      <c r="M56" s="1">
        <v>1</v>
      </c>
      <c r="N56" s="1">
        <v>1</v>
      </c>
      <c r="O56" s="1">
        <v>1</v>
      </c>
      <c r="P56" s="1">
        <v>1</v>
      </c>
      <c r="R56" s="1">
        <f t="shared" si="8"/>
        <v>1</v>
      </c>
      <c r="S56" s="1">
        <v>3</v>
      </c>
      <c r="T56" s="1">
        <v>3</v>
      </c>
      <c r="U56" s="1">
        <f t="shared" si="9"/>
        <v>6</v>
      </c>
      <c r="V56" s="1">
        <v>5.5</v>
      </c>
      <c r="W56" s="1">
        <v>1</v>
      </c>
      <c r="X56" s="1">
        <v>11</v>
      </c>
      <c r="Y56" s="1">
        <v>4</v>
      </c>
      <c r="Z56" s="1">
        <v>1</v>
      </c>
      <c r="AA56" s="1">
        <v>1</v>
      </c>
      <c r="AB56" s="1">
        <v>1</v>
      </c>
      <c r="AC56" s="1">
        <v>1</v>
      </c>
      <c r="AD56" s="1">
        <v>1</v>
      </c>
    </row>
    <row r="57" spans="1:30">
      <c r="A57" s="1" t="s">
        <v>102</v>
      </c>
      <c r="B57" s="1" t="s">
        <v>103</v>
      </c>
      <c r="C57" s="1">
        <f t="shared" si="5"/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0</v>
      </c>
      <c r="K57" s="1">
        <f t="shared" si="6"/>
        <v>1</v>
      </c>
      <c r="L57" s="1">
        <f t="shared" si="7"/>
        <v>5</v>
      </c>
      <c r="M57" s="1">
        <v>0</v>
      </c>
      <c r="N57" s="1">
        <v>1</v>
      </c>
      <c r="O57" s="1">
        <v>0</v>
      </c>
      <c r="P57" s="1">
        <v>2</v>
      </c>
      <c r="Q57" s="1">
        <v>2</v>
      </c>
      <c r="R57" s="1">
        <f t="shared" si="8"/>
        <v>1</v>
      </c>
      <c r="S57" s="1">
        <v>1</v>
      </c>
      <c r="T57" s="1">
        <v>5</v>
      </c>
      <c r="U57" s="1">
        <f t="shared" si="9"/>
        <v>6</v>
      </c>
      <c r="V57" s="1">
        <v>4</v>
      </c>
      <c r="X57" s="1">
        <v>10</v>
      </c>
      <c r="Y57" s="1">
        <v>6</v>
      </c>
      <c r="Z57" s="1">
        <v>1</v>
      </c>
      <c r="AA57" s="1">
        <v>1</v>
      </c>
      <c r="AB57" s="1">
        <v>0</v>
      </c>
      <c r="AC57" s="1">
        <v>0</v>
      </c>
      <c r="AD57" s="1">
        <v>1</v>
      </c>
    </row>
    <row r="58" spans="1:30">
      <c r="A58" s="1" t="s">
        <v>123</v>
      </c>
      <c r="B58" s="1" t="s">
        <v>124</v>
      </c>
      <c r="C58" s="1">
        <f t="shared" si="5"/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K58" s="1">
        <f t="shared" si="6"/>
        <v>1</v>
      </c>
      <c r="L58" s="1">
        <f t="shared" si="7"/>
        <v>4</v>
      </c>
      <c r="M58" s="1">
        <v>0</v>
      </c>
      <c r="N58" s="1">
        <v>1</v>
      </c>
      <c r="O58" s="1">
        <v>1</v>
      </c>
      <c r="Q58" s="1">
        <v>2</v>
      </c>
      <c r="R58" s="1">
        <f t="shared" si="8"/>
        <v>1</v>
      </c>
      <c r="S58" s="1">
        <v>3</v>
      </c>
      <c r="T58" s="1">
        <v>3</v>
      </c>
      <c r="U58" s="1">
        <f t="shared" si="9"/>
        <v>6</v>
      </c>
      <c r="V58" s="1">
        <v>2</v>
      </c>
      <c r="W58" s="1">
        <v>1</v>
      </c>
      <c r="X58" s="1">
        <v>9</v>
      </c>
      <c r="Y58" s="1">
        <v>4</v>
      </c>
      <c r="Z58" s="1">
        <v>1</v>
      </c>
      <c r="AA58" s="1">
        <v>1</v>
      </c>
      <c r="AB58" s="1">
        <v>0</v>
      </c>
      <c r="AC58" s="1">
        <v>0</v>
      </c>
      <c r="AD58" s="1">
        <v>1</v>
      </c>
    </row>
    <row r="59" spans="1:30">
      <c r="A59" s="1" t="s">
        <v>121</v>
      </c>
      <c r="B59" s="1" t="s">
        <v>122</v>
      </c>
      <c r="C59" s="1">
        <f t="shared" si="5"/>
        <v>1</v>
      </c>
      <c r="D59" s="1">
        <v>1</v>
      </c>
      <c r="E59" s="1">
        <v>1</v>
      </c>
      <c r="F59" s="1">
        <v>1</v>
      </c>
      <c r="G59" s="1">
        <v>1</v>
      </c>
      <c r="H59" s="1">
        <v>0</v>
      </c>
      <c r="I59" s="1">
        <v>0</v>
      </c>
      <c r="J59" s="1">
        <v>1</v>
      </c>
      <c r="K59" s="1">
        <f t="shared" si="6"/>
        <v>1</v>
      </c>
      <c r="L59" s="1">
        <f t="shared" si="7"/>
        <v>3</v>
      </c>
      <c r="M59" s="1">
        <v>1</v>
      </c>
      <c r="N59" s="1">
        <v>0</v>
      </c>
      <c r="O59" s="1">
        <v>0</v>
      </c>
      <c r="Q59" s="1">
        <v>2</v>
      </c>
      <c r="R59" s="1">
        <f t="shared" si="8"/>
        <v>1</v>
      </c>
      <c r="S59" s="1">
        <v>1</v>
      </c>
      <c r="T59" s="1">
        <v>4</v>
      </c>
      <c r="U59" s="1">
        <f t="shared" si="9"/>
        <v>5</v>
      </c>
      <c r="V59" s="1">
        <v>4</v>
      </c>
      <c r="X59" s="1">
        <v>9</v>
      </c>
      <c r="Y59" s="1">
        <v>5</v>
      </c>
      <c r="Z59" s="1">
        <v>1</v>
      </c>
      <c r="AA59" s="1">
        <v>1</v>
      </c>
      <c r="AB59" s="1">
        <v>0</v>
      </c>
      <c r="AC59" s="1">
        <v>0</v>
      </c>
      <c r="AD59" s="1">
        <v>1</v>
      </c>
    </row>
    <row r="61" spans="1:30">
      <c r="A61" s="1" t="s">
        <v>94</v>
      </c>
      <c r="B61" s="1" t="s">
        <v>95</v>
      </c>
      <c r="C61" s="1">
        <f>(AD61+AC61)*R61</f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0</v>
      </c>
      <c r="K61" s="1">
        <f>IF(F61*(H61+J61)*(G61+I61+J61)&gt;0,1,0)</f>
        <v>1</v>
      </c>
      <c r="L61" s="1">
        <f>SUM(M61:Q61)</f>
        <v>4</v>
      </c>
      <c r="M61" s="1">
        <v>0</v>
      </c>
      <c r="N61" s="1">
        <v>1</v>
      </c>
      <c r="O61" s="1">
        <v>1</v>
      </c>
      <c r="Q61" s="1">
        <v>2</v>
      </c>
      <c r="R61" s="1">
        <f>IF(L61&gt;=3, 1, 0)</f>
        <v>1</v>
      </c>
      <c r="S61" s="1">
        <v>1.5</v>
      </c>
      <c r="T61" s="1">
        <v>6</v>
      </c>
      <c r="U61" s="1">
        <f>T61+S61</f>
        <v>7.5</v>
      </c>
      <c r="V61" s="1">
        <v>3</v>
      </c>
      <c r="X61" s="1">
        <v>10.5</v>
      </c>
      <c r="Y61" s="1">
        <v>7</v>
      </c>
      <c r="Z61" s="1">
        <v>1</v>
      </c>
      <c r="AA61" s="1">
        <v>1</v>
      </c>
      <c r="AB61" s="1">
        <v>0</v>
      </c>
      <c r="AC61" s="1">
        <v>0</v>
      </c>
      <c r="AD61" s="1">
        <v>1</v>
      </c>
    </row>
    <row r="62" spans="1:30">
      <c r="A62" s="1" t="s">
        <v>127</v>
      </c>
      <c r="B62" s="1" t="s">
        <v>128</v>
      </c>
      <c r="C62" s="1">
        <f>(AD62+AC62)*R62</f>
        <v>0</v>
      </c>
      <c r="E62" s="1">
        <v>1</v>
      </c>
      <c r="F62" s="1">
        <v>1</v>
      </c>
      <c r="G62" s="1">
        <v>0</v>
      </c>
      <c r="H62" s="1">
        <v>1</v>
      </c>
      <c r="I62" s="1">
        <v>1</v>
      </c>
      <c r="K62" s="1">
        <f>IF(F62*(H62+J62)*(G62+I62+J62)&gt;0,1,0)</f>
        <v>1</v>
      </c>
      <c r="L62" s="1">
        <f>SUM(M62:Q62)</f>
        <v>3</v>
      </c>
      <c r="M62" s="1">
        <v>1</v>
      </c>
      <c r="N62" s="1">
        <v>0</v>
      </c>
      <c r="O62" s="1">
        <v>0</v>
      </c>
      <c r="Q62" s="1">
        <v>2</v>
      </c>
      <c r="R62" s="1">
        <f>IF(L62&gt;=3, 1, 0)</f>
        <v>1</v>
      </c>
      <c r="S62" s="1">
        <v>3</v>
      </c>
      <c r="T62" s="1">
        <v>4</v>
      </c>
      <c r="U62" s="1">
        <f>T62+S62</f>
        <v>7</v>
      </c>
      <c r="V62" s="1">
        <v>0</v>
      </c>
      <c r="W62" s="1">
        <v>1</v>
      </c>
      <c r="X62" s="1">
        <v>8</v>
      </c>
      <c r="Y62" s="1">
        <v>5</v>
      </c>
      <c r="Z62" s="1">
        <v>1</v>
      </c>
      <c r="AA62" s="1">
        <v>0</v>
      </c>
      <c r="AB62" s="1">
        <v>0</v>
      </c>
      <c r="AC62" s="1">
        <v>0</v>
      </c>
      <c r="AD62" s="1">
        <v>0</v>
      </c>
    </row>
    <row r="63" spans="1:30">
      <c r="A63" s="1" t="s">
        <v>177</v>
      </c>
      <c r="B63" s="1" t="s">
        <v>178</v>
      </c>
      <c r="C63" s="1">
        <f>(AD63+AC63)*R63</f>
        <v>0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K63" s="1">
        <f>IF(F63*(H63+J63)*(G63+I63+J63)&gt;0,1,0)</f>
        <v>1</v>
      </c>
      <c r="L63" s="1">
        <f>SUM(M63:Q63)</f>
        <v>5</v>
      </c>
      <c r="M63" s="1">
        <v>0</v>
      </c>
      <c r="N63" s="1">
        <v>1</v>
      </c>
      <c r="O63" s="1">
        <v>1</v>
      </c>
      <c r="P63" s="1">
        <v>1</v>
      </c>
      <c r="Q63" s="1">
        <v>2</v>
      </c>
      <c r="R63" s="1">
        <f>IF(L63&gt;=3, 1, 0)</f>
        <v>1</v>
      </c>
      <c r="S63" s="1">
        <v>0</v>
      </c>
      <c r="T63" s="1">
        <v>1</v>
      </c>
      <c r="U63" s="1">
        <f>T63+S63</f>
        <v>1</v>
      </c>
      <c r="V63" s="1">
        <v>1</v>
      </c>
      <c r="X63" s="1">
        <v>2</v>
      </c>
      <c r="Y63" s="1">
        <v>2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</row>
    <row r="64" spans="1:30">
      <c r="A64" s="1" t="s">
        <v>195</v>
      </c>
      <c r="B64" s="1" t="s">
        <v>196</v>
      </c>
      <c r="C64" s="1">
        <f>(AD64+AC64)*R64</f>
        <v>0</v>
      </c>
      <c r="F64" s="1">
        <v>1</v>
      </c>
      <c r="G64" s="1">
        <v>1</v>
      </c>
      <c r="H64" s="1">
        <v>1</v>
      </c>
      <c r="I64" s="1">
        <v>0</v>
      </c>
      <c r="K64" s="1">
        <f>IF(F64*(H64+J64)*(G64+I64+J64)&gt;0,1,0)</f>
        <v>1</v>
      </c>
      <c r="L64" s="1">
        <f>SUM(M64:Q64)</f>
        <v>4</v>
      </c>
      <c r="M64" s="1">
        <v>1</v>
      </c>
      <c r="N64" s="1">
        <v>0</v>
      </c>
      <c r="O64" s="1">
        <v>1</v>
      </c>
      <c r="P64" s="1">
        <v>2</v>
      </c>
      <c r="R64" s="1">
        <f>IF(L64&gt;=3, 1, 0)</f>
        <v>1</v>
      </c>
      <c r="S64" s="1">
        <v>0</v>
      </c>
      <c r="T64" s="1">
        <v>0</v>
      </c>
      <c r="U64" s="1">
        <f>T64+S64</f>
        <v>0</v>
      </c>
      <c r="V64" s="1">
        <v>2</v>
      </c>
      <c r="X64" s="1">
        <v>2</v>
      </c>
      <c r="Y64" s="1">
        <v>1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</row>
    <row r="65" spans="1:30">
      <c r="A65" s="1" t="s">
        <v>455</v>
      </c>
      <c r="B65" s="1" t="s">
        <v>456</v>
      </c>
      <c r="C65" s="1">
        <f>(AD65+AC65)*R65</f>
        <v>0</v>
      </c>
      <c r="F65" s="1">
        <v>1</v>
      </c>
      <c r="G65" s="1">
        <v>0</v>
      </c>
      <c r="J65" s="1">
        <v>1</v>
      </c>
      <c r="K65" s="1">
        <f>IF(F65*(H65+J65)*(G65+I65+J65)&gt;0,1,0)</f>
        <v>1</v>
      </c>
      <c r="L65" s="1">
        <f>SUM(M65:Q65)</f>
        <v>3</v>
      </c>
      <c r="M65" s="1">
        <v>0</v>
      </c>
      <c r="N65" s="1">
        <v>0</v>
      </c>
      <c r="O65" s="1">
        <v>1</v>
      </c>
      <c r="Q65" s="1">
        <v>2</v>
      </c>
      <c r="R65" s="1">
        <f>IF(L65&gt;=3, 1, 0)</f>
        <v>1</v>
      </c>
      <c r="S65" s="1">
        <v>0</v>
      </c>
      <c r="T65" s="1">
        <v>0</v>
      </c>
      <c r="U65" s="1">
        <f>T65+S65</f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</row>
    <row r="66" spans="1:30">
      <c r="A66" s="1" t="s">
        <v>44</v>
      </c>
      <c r="B66" s="1" t="s">
        <v>45</v>
      </c>
      <c r="C66" s="1">
        <f>(AD66+AC66)*R66</f>
        <v>2</v>
      </c>
      <c r="D66" s="1">
        <v>1</v>
      </c>
      <c r="F66" s="1">
        <v>0</v>
      </c>
      <c r="G66" s="1">
        <v>0</v>
      </c>
      <c r="K66" s="1">
        <f>IF(F66*(H66+J66)*(G66+I66+J66)&gt;0,1,0)</f>
        <v>0</v>
      </c>
      <c r="L66" s="1">
        <f>SUM(M66:Q66)</f>
        <v>3</v>
      </c>
      <c r="M66" s="1">
        <v>1</v>
      </c>
      <c r="N66" s="1">
        <v>0</v>
      </c>
      <c r="O66" s="1">
        <v>1</v>
      </c>
      <c r="P66" s="1">
        <v>1</v>
      </c>
      <c r="R66" s="1">
        <f>IF(L66&gt;=3, 1, 0)</f>
        <v>1</v>
      </c>
      <c r="S66" s="1">
        <v>7</v>
      </c>
      <c r="T66" s="1">
        <v>4</v>
      </c>
      <c r="U66" s="1">
        <f>T66+S66</f>
        <v>11</v>
      </c>
      <c r="V66" s="1">
        <v>1.5</v>
      </c>
      <c r="X66" s="1">
        <v>12.5</v>
      </c>
      <c r="Y66" s="1">
        <v>5</v>
      </c>
      <c r="Z66" s="1">
        <v>1</v>
      </c>
      <c r="AA66" s="1">
        <v>1</v>
      </c>
      <c r="AB66" s="1">
        <v>1</v>
      </c>
      <c r="AC66" s="1">
        <v>1</v>
      </c>
      <c r="AD66" s="1">
        <v>1</v>
      </c>
    </row>
    <row r="67" spans="1:30">
      <c r="A67" s="1" t="s">
        <v>50</v>
      </c>
      <c r="B67" s="1" t="s">
        <v>51</v>
      </c>
      <c r="C67" s="1">
        <f>(AD67+AC67)*R67</f>
        <v>2</v>
      </c>
      <c r="D67" s="1">
        <v>1</v>
      </c>
      <c r="F67" s="1">
        <v>-1</v>
      </c>
      <c r="H67" s="1">
        <v>-1</v>
      </c>
      <c r="J67" s="1">
        <v>-1</v>
      </c>
      <c r="K67" s="1">
        <f>IF(F67*(H67+J67)*(G67+I67+J67)&gt;0,1,0)</f>
        <v>0</v>
      </c>
      <c r="L67" s="1">
        <f>SUM(M67:Q67)</f>
        <v>6</v>
      </c>
      <c r="M67" s="1">
        <v>1</v>
      </c>
      <c r="N67" s="1">
        <v>1</v>
      </c>
      <c r="O67" s="1">
        <v>1</v>
      </c>
      <c r="P67" s="1">
        <v>1</v>
      </c>
      <c r="Q67" s="1">
        <v>2</v>
      </c>
      <c r="R67" s="1">
        <f>IF(L67&gt;=3, 1, 0)</f>
        <v>1</v>
      </c>
      <c r="S67" s="1">
        <v>4</v>
      </c>
      <c r="T67" s="1">
        <v>5</v>
      </c>
      <c r="U67" s="1">
        <f>T67+S67</f>
        <v>9</v>
      </c>
      <c r="V67" s="1">
        <v>2</v>
      </c>
      <c r="W67" s="1">
        <v>1</v>
      </c>
      <c r="X67" s="1">
        <v>12</v>
      </c>
      <c r="Y67" s="1">
        <v>6</v>
      </c>
      <c r="Z67" s="1">
        <v>1</v>
      </c>
      <c r="AA67" s="1">
        <v>1</v>
      </c>
      <c r="AB67" s="1">
        <v>1</v>
      </c>
      <c r="AC67" s="1">
        <v>1</v>
      </c>
      <c r="AD67" s="1">
        <v>1</v>
      </c>
    </row>
    <row r="68" spans="1:30">
      <c r="A68" s="1" t="s">
        <v>72</v>
      </c>
      <c r="B68" s="1" t="s">
        <v>73</v>
      </c>
      <c r="C68" s="1">
        <f>(AD68+AC68)*R68</f>
        <v>2</v>
      </c>
      <c r="D68" s="1">
        <v>1</v>
      </c>
      <c r="F68" s="1">
        <v>-1</v>
      </c>
      <c r="H68" s="1">
        <v>-1</v>
      </c>
      <c r="J68" s="1">
        <v>-1</v>
      </c>
      <c r="K68" s="1">
        <f>IF(F68*(H68+J68)*(G68+I68+J68)&gt;0,1,0)</f>
        <v>0</v>
      </c>
      <c r="L68" s="1">
        <f>SUM(M68:Q68)</f>
        <v>3</v>
      </c>
      <c r="M68" s="1">
        <v>1</v>
      </c>
      <c r="N68" s="1">
        <v>0</v>
      </c>
      <c r="O68" s="1">
        <v>0</v>
      </c>
      <c r="Q68" s="1">
        <v>2</v>
      </c>
      <c r="R68" s="1">
        <f>IF(L68&gt;=3, 1, 0)</f>
        <v>1</v>
      </c>
      <c r="S68" s="1">
        <v>5</v>
      </c>
      <c r="T68" s="1">
        <v>6</v>
      </c>
      <c r="U68" s="1">
        <f>T68+S68</f>
        <v>11</v>
      </c>
      <c r="V68" s="1">
        <v>0</v>
      </c>
      <c r="X68" s="1">
        <v>11</v>
      </c>
      <c r="Y68" s="1">
        <v>6</v>
      </c>
      <c r="Z68" s="1">
        <v>1</v>
      </c>
      <c r="AA68" s="1">
        <v>1</v>
      </c>
      <c r="AB68" s="1">
        <v>1</v>
      </c>
      <c r="AC68" s="1">
        <v>1</v>
      </c>
      <c r="AD68" s="1">
        <v>1</v>
      </c>
    </row>
    <row r="69" spans="1:30">
      <c r="A69" s="1" t="s">
        <v>84</v>
      </c>
      <c r="B69" s="1" t="s">
        <v>85</v>
      </c>
      <c r="C69" s="1">
        <f>(AD69+AC69)*R69</f>
        <v>2</v>
      </c>
      <c r="D69" s="1">
        <v>1</v>
      </c>
      <c r="F69" s="1">
        <v>-1</v>
      </c>
      <c r="H69" s="1">
        <v>-1</v>
      </c>
      <c r="J69" s="1">
        <v>-1</v>
      </c>
      <c r="K69" s="1">
        <f>IF(F69*(H69+J69)*(G69+I69+J69)&gt;0,1,0)</f>
        <v>0</v>
      </c>
      <c r="L69" s="1">
        <f>SUM(M69:Q69)</f>
        <v>5</v>
      </c>
      <c r="M69" s="1">
        <v>1</v>
      </c>
      <c r="N69" s="1">
        <v>1</v>
      </c>
      <c r="O69" s="1">
        <v>1</v>
      </c>
      <c r="Q69" s="1">
        <v>2</v>
      </c>
      <c r="R69" s="1">
        <f>IF(L69&gt;=3, 1, 0)</f>
        <v>1</v>
      </c>
      <c r="S69" s="1">
        <v>7</v>
      </c>
      <c r="T69" s="1">
        <v>4</v>
      </c>
      <c r="U69" s="1">
        <f>T69+S69</f>
        <v>11</v>
      </c>
      <c r="V69" s="1">
        <v>0</v>
      </c>
      <c r="X69" s="1">
        <v>11</v>
      </c>
      <c r="Y69" s="1">
        <v>4</v>
      </c>
      <c r="Z69" s="1">
        <v>1</v>
      </c>
      <c r="AA69" s="1">
        <v>1</v>
      </c>
      <c r="AB69" s="1">
        <v>1</v>
      </c>
      <c r="AC69" s="1">
        <v>1</v>
      </c>
      <c r="AD69" s="1">
        <v>1</v>
      </c>
    </row>
    <row r="70" spans="1:30">
      <c r="A70" s="1" t="s">
        <v>113</v>
      </c>
      <c r="B70" s="1" t="s">
        <v>114</v>
      </c>
      <c r="C70" s="1">
        <f>(AD70+AC70)*R70</f>
        <v>1</v>
      </c>
      <c r="D70" s="1">
        <v>1</v>
      </c>
      <c r="F70" s="1">
        <v>-1</v>
      </c>
      <c r="H70" s="1">
        <v>-1</v>
      </c>
      <c r="J70" s="1">
        <v>-1</v>
      </c>
      <c r="K70" s="1">
        <f>IF(F70*(H70+J70)*(G70+I70+J70)&gt;0,1,0)</f>
        <v>0</v>
      </c>
      <c r="L70" s="1">
        <f>SUM(M70:Q70)</f>
        <v>3</v>
      </c>
      <c r="M70" s="1">
        <v>0</v>
      </c>
      <c r="N70" s="1">
        <v>0</v>
      </c>
      <c r="O70" s="1">
        <v>1</v>
      </c>
      <c r="Q70" s="1">
        <v>2</v>
      </c>
      <c r="R70" s="1">
        <f>IF(L70&gt;=3, 1, 0)</f>
        <v>1</v>
      </c>
      <c r="S70" s="1">
        <v>3</v>
      </c>
      <c r="T70" s="1">
        <v>5</v>
      </c>
      <c r="U70" s="1">
        <f>T70+S70</f>
        <v>8</v>
      </c>
      <c r="V70" s="1">
        <v>0</v>
      </c>
      <c r="W70" s="1">
        <v>1</v>
      </c>
      <c r="X70" s="1">
        <v>9</v>
      </c>
      <c r="Y70" s="1">
        <v>6</v>
      </c>
      <c r="Z70" s="1">
        <v>1</v>
      </c>
      <c r="AA70" s="1">
        <v>1</v>
      </c>
      <c r="AB70" s="1">
        <v>0</v>
      </c>
      <c r="AC70" s="1">
        <v>0</v>
      </c>
      <c r="AD70" s="1">
        <v>1</v>
      </c>
    </row>
    <row r="71" spans="1:30">
      <c r="A71" s="1" t="s">
        <v>125</v>
      </c>
      <c r="B71" s="1" t="s">
        <v>126</v>
      </c>
      <c r="C71" s="1">
        <f>(AD71+AC71)*R71</f>
        <v>0</v>
      </c>
      <c r="K71" s="1">
        <f>IF(F71*(H71+J71)*(G71+I71+J71)&gt;0,1,0)</f>
        <v>0</v>
      </c>
      <c r="L71" s="1">
        <f>SUM(M71:Q71)</f>
        <v>3</v>
      </c>
      <c r="M71" s="1">
        <v>0</v>
      </c>
      <c r="N71" s="1">
        <v>0</v>
      </c>
      <c r="O71" s="1">
        <v>1</v>
      </c>
      <c r="Q71" s="1">
        <v>2</v>
      </c>
      <c r="R71" s="1">
        <f>IF(L71&gt;=3, 1, 0)</f>
        <v>1</v>
      </c>
      <c r="S71" s="1">
        <v>6</v>
      </c>
      <c r="T71" s="1">
        <v>3</v>
      </c>
      <c r="U71" s="1">
        <f>T71+S71</f>
        <v>9</v>
      </c>
      <c r="V71" s="1">
        <v>0</v>
      </c>
      <c r="X71" s="1">
        <v>9</v>
      </c>
      <c r="Y71" s="1">
        <v>3</v>
      </c>
      <c r="Z71" s="1">
        <v>0</v>
      </c>
      <c r="AA71" s="1">
        <v>1</v>
      </c>
      <c r="AB71" s="1">
        <v>0</v>
      </c>
      <c r="AC71" s="1">
        <v>0</v>
      </c>
      <c r="AD71" s="1">
        <v>0</v>
      </c>
    </row>
    <row r="72" spans="1:30">
      <c r="A72" s="1" t="s">
        <v>129</v>
      </c>
      <c r="B72" s="1" t="s">
        <v>130</v>
      </c>
      <c r="C72" s="1">
        <f>(AD72+AC72)*R72</f>
        <v>0</v>
      </c>
      <c r="K72" s="1">
        <f>IF(F72*(H72+J72)*(G72+I72+J72)&gt;0,1,0)</f>
        <v>0</v>
      </c>
      <c r="L72" s="1">
        <f>SUM(M72:Q72)</f>
        <v>2</v>
      </c>
      <c r="M72" s="1">
        <v>1</v>
      </c>
      <c r="N72" s="1">
        <v>1</v>
      </c>
      <c r="O72" s="1">
        <v>0</v>
      </c>
      <c r="R72" s="1">
        <f>IF(L72&gt;=3, 1, 0)</f>
        <v>0</v>
      </c>
      <c r="S72" s="1">
        <v>6</v>
      </c>
      <c r="T72" s="1">
        <v>1</v>
      </c>
      <c r="U72" s="1">
        <f>T72+S72</f>
        <v>7</v>
      </c>
      <c r="V72" s="1">
        <v>1</v>
      </c>
      <c r="X72" s="1">
        <v>8</v>
      </c>
      <c r="Y72" s="1">
        <v>2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</row>
    <row r="73" spans="1:30">
      <c r="A73" s="1" t="s">
        <v>133</v>
      </c>
      <c r="B73" s="1" t="s">
        <v>134</v>
      </c>
      <c r="C73" s="1">
        <f>(AD73+AC73)*R73</f>
        <v>0</v>
      </c>
      <c r="F73" s="1">
        <v>1</v>
      </c>
      <c r="G73" s="1">
        <v>0</v>
      </c>
      <c r="K73" s="1">
        <f>IF(F73*(H73+J73)*(G73+I73+J73)&gt;0,1,0)</f>
        <v>0</v>
      </c>
      <c r="L73" s="1">
        <f>SUM(M73:Q73)</f>
        <v>3</v>
      </c>
      <c r="M73" s="1">
        <v>0</v>
      </c>
      <c r="N73" s="1">
        <v>1</v>
      </c>
      <c r="O73" s="1">
        <v>0</v>
      </c>
      <c r="Q73" s="1">
        <v>2</v>
      </c>
      <c r="R73" s="1">
        <f>IF(L73&gt;=3, 1, 0)</f>
        <v>1</v>
      </c>
      <c r="S73" s="1">
        <v>4</v>
      </c>
      <c r="T73" s="1">
        <v>1</v>
      </c>
      <c r="U73" s="1">
        <f>T73+S73</f>
        <v>5</v>
      </c>
      <c r="V73" s="1">
        <v>2</v>
      </c>
      <c r="X73" s="1">
        <v>7</v>
      </c>
      <c r="Y73" s="1">
        <v>2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</row>
    <row r="74" spans="1:30">
      <c r="A74" s="1" t="s">
        <v>131</v>
      </c>
      <c r="B74" s="1" t="s">
        <v>132</v>
      </c>
      <c r="C74" s="1">
        <f>(AD74+AC74)*R74</f>
        <v>0</v>
      </c>
      <c r="K74" s="1">
        <f>IF(F74*(H74+J74)*(G74+I74+J74)&gt;0,1,0)</f>
        <v>0</v>
      </c>
      <c r="L74" s="1">
        <f>SUM(M74:Q74)</f>
        <v>0</v>
      </c>
      <c r="M74" s="1">
        <v>0</v>
      </c>
      <c r="N74" s="1">
        <v>0</v>
      </c>
      <c r="O74" s="1">
        <v>0</v>
      </c>
      <c r="R74" s="1">
        <f>IF(L74&gt;=3, 1, 0)</f>
        <v>0</v>
      </c>
      <c r="S74" s="1">
        <v>5</v>
      </c>
      <c r="T74" s="1">
        <v>2</v>
      </c>
      <c r="U74" s="1">
        <f>T74+S74</f>
        <v>7</v>
      </c>
      <c r="V74" s="1">
        <v>0</v>
      </c>
      <c r="X74" s="1">
        <v>7</v>
      </c>
      <c r="Y74" s="1">
        <v>2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</row>
    <row r="75" spans="1:30">
      <c r="A75" s="1" t="s">
        <v>135</v>
      </c>
      <c r="B75" s="1" t="s">
        <v>136</v>
      </c>
      <c r="C75" s="1">
        <f>(AD75+AC75)*R75</f>
        <v>0</v>
      </c>
      <c r="E75" s="1">
        <v>1</v>
      </c>
      <c r="F75" s="1">
        <v>1</v>
      </c>
      <c r="G75" s="1">
        <v>0</v>
      </c>
      <c r="K75" s="1">
        <f>IF(F75*(H75+J75)*(G75+I75+J75)&gt;0,1,0)</f>
        <v>0</v>
      </c>
      <c r="L75" s="1">
        <f>SUM(M75:Q75)</f>
        <v>3</v>
      </c>
      <c r="M75" s="1">
        <v>0</v>
      </c>
      <c r="N75" s="1">
        <v>0</v>
      </c>
      <c r="O75" s="1">
        <v>1</v>
      </c>
      <c r="Q75" s="1">
        <v>2</v>
      </c>
      <c r="R75" s="1">
        <f>IF(L75&gt;=3, 1, 0)</f>
        <v>1</v>
      </c>
      <c r="S75" s="1">
        <v>3.5</v>
      </c>
      <c r="T75" s="1">
        <v>3</v>
      </c>
      <c r="U75" s="1">
        <f>T75+S75</f>
        <v>6.5</v>
      </c>
      <c r="V75" s="1">
        <v>0</v>
      </c>
      <c r="X75" s="1">
        <v>6.5</v>
      </c>
      <c r="Y75" s="1">
        <v>3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</row>
    <row r="76" spans="1:30">
      <c r="A76" s="1" t="s">
        <v>137</v>
      </c>
      <c r="B76" s="1" t="s">
        <v>138</v>
      </c>
      <c r="C76" s="1">
        <f>(AD76+AC76)*R76</f>
        <v>0</v>
      </c>
      <c r="K76" s="1">
        <f>IF(F76*(H76+J76)*(G76+I76+J76)&gt;0,1,0)</f>
        <v>0</v>
      </c>
      <c r="L76" s="1">
        <f>SUM(M76:Q76)</f>
        <v>0</v>
      </c>
      <c r="M76" s="1">
        <v>0</v>
      </c>
      <c r="N76" s="1">
        <v>0</v>
      </c>
      <c r="O76" s="1">
        <v>0</v>
      </c>
      <c r="R76" s="1">
        <f>IF(L76&gt;=3, 1, 0)</f>
        <v>0</v>
      </c>
      <c r="S76" s="1">
        <v>4.5</v>
      </c>
      <c r="T76" s="1">
        <v>2</v>
      </c>
      <c r="U76" s="1">
        <f>T76+S76</f>
        <v>6.5</v>
      </c>
      <c r="V76" s="1">
        <v>0</v>
      </c>
      <c r="X76" s="1">
        <v>6.5</v>
      </c>
      <c r="Y76" s="1">
        <v>2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</row>
    <row r="77" spans="1:30">
      <c r="A77" s="1" t="s">
        <v>139</v>
      </c>
      <c r="B77" s="1" t="s">
        <v>140</v>
      </c>
      <c r="C77" s="1">
        <f>(AD77+AC77)*R77</f>
        <v>0</v>
      </c>
      <c r="K77" s="1">
        <f>IF(F77*(H77+J77)*(G77+I77+J77)&gt;0,1,0)</f>
        <v>0</v>
      </c>
      <c r="L77" s="1">
        <f>SUM(M77:Q77)</f>
        <v>0</v>
      </c>
      <c r="M77" s="1">
        <v>0</v>
      </c>
      <c r="N77" s="1">
        <v>0</v>
      </c>
      <c r="O77" s="1">
        <v>0</v>
      </c>
      <c r="R77" s="1">
        <f>IF(L77&gt;=3, 1, 0)</f>
        <v>0</v>
      </c>
      <c r="S77" s="1">
        <v>2</v>
      </c>
      <c r="T77" s="1">
        <v>3</v>
      </c>
      <c r="U77" s="1">
        <f>T77+S77</f>
        <v>5</v>
      </c>
      <c r="V77" s="1">
        <v>0</v>
      </c>
      <c r="X77" s="1">
        <v>5</v>
      </c>
      <c r="Y77" s="1">
        <v>3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</row>
    <row r="78" spans="1:30">
      <c r="A78" s="1" t="s">
        <v>141</v>
      </c>
      <c r="B78" s="1" t="s">
        <v>142</v>
      </c>
      <c r="C78" s="1">
        <f>(AD78+AC78)*R78</f>
        <v>0</v>
      </c>
      <c r="E78" s="1">
        <v>1</v>
      </c>
      <c r="K78" s="1">
        <f>IF(F78*(H78+J78)*(G78+I78+J78)&gt;0,1,0)</f>
        <v>0</v>
      </c>
      <c r="L78" s="1">
        <f>SUM(M78:Q78)</f>
        <v>0</v>
      </c>
      <c r="M78" s="1">
        <v>0</v>
      </c>
      <c r="N78" s="1">
        <v>0</v>
      </c>
      <c r="O78" s="1">
        <v>0</v>
      </c>
      <c r="R78" s="1">
        <f>IF(L78&gt;=3, 1, 0)</f>
        <v>0</v>
      </c>
      <c r="S78" s="1">
        <v>4</v>
      </c>
      <c r="T78" s="1">
        <v>0</v>
      </c>
      <c r="U78" s="1">
        <f>T78+S78</f>
        <v>4</v>
      </c>
      <c r="V78" s="1">
        <v>1</v>
      </c>
      <c r="X78" s="1">
        <v>5</v>
      </c>
      <c r="Y78" s="1">
        <v>1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</row>
    <row r="79" spans="1:30">
      <c r="A79" s="1" t="s">
        <v>143</v>
      </c>
      <c r="B79" s="1" t="s">
        <v>144</v>
      </c>
      <c r="C79" s="1">
        <f>(AD79+AC79)*R79</f>
        <v>0</v>
      </c>
      <c r="K79" s="1">
        <f>IF(F79*(H79+J79)*(G79+I79+J79)&gt;0,1,0)</f>
        <v>0</v>
      </c>
      <c r="L79" s="1">
        <f>SUM(M79:Q79)</f>
        <v>1</v>
      </c>
      <c r="M79" s="1">
        <v>0</v>
      </c>
      <c r="N79" s="1">
        <v>0</v>
      </c>
      <c r="O79" s="1">
        <v>0</v>
      </c>
      <c r="P79" s="1">
        <v>1</v>
      </c>
      <c r="R79" s="1">
        <f>IF(L79&gt;=3, 1, 0)</f>
        <v>0</v>
      </c>
      <c r="S79" s="1">
        <v>3</v>
      </c>
      <c r="T79" s="1">
        <v>0</v>
      </c>
      <c r="U79" s="1">
        <f>T79+S79</f>
        <v>3</v>
      </c>
      <c r="V79" s="1">
        <v>2</v>
      </c>
      <c r="X79" s="1">
        <v>5</v>
      </c>
      <c r="Y79" s="1">
        <v>1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</row>
    <row r="80" spans="1:30">
      <c r="A80" s="1" t="s">
        <v>145</v>
      </c>
      <c r="B80" s="1" t="s">
        <v>146</v>
      </c>
      <c r="C80" s="1">
        <f>(AD80+AC80)*R80</f>
        <v>0</v>
      </c>
      <c r="K80" s="1">
        <f>IF(F80*(H80+J80)*(G80+I80+J80)&gt;0,1,0)</f>
        <v>0</v>
      </c>
      <c r="L80" s="1">
        <f>SUM(M80:Q80)</f>
        <v>2</v>
      </c>
      <c r="M80" s="1">
        <v>1</v>
      </c>
      <c r="N80" s="1">
        <v>1</v>
      </c>
      <c r="O80" s="1">
        <v>0</v>
      </c>
      <c r="R80" s="1">
        <f>IF(L80&gt;=3, 1, 0)</f>
        <v>0</v>
      </c>
      <c r="S80" s="1">
        <v>5</v>
      </c>
      <c r="T80" s="1">
        <v>0</v>
      </c>
      <c r="U80" s="1">
        <f>T80+S80</f>
        <v>5</v>
      </c>
      <c r="V80" s="1">
        <v>0</v>
      </c>
      <c r="X80" s="1">
        <v>5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</row>
    <row r="81" spans="1:30">
      <c r="A81" s="1" t="s">
        <v>151</v>
      </c>
      <c r="B81" s="1" t="s">
        <v>152</v>
      </c>
      <c r="C81" s="1">
        <f>(AD81+AC81)*R81</f>
        <v>0</v>
      </c>
      <c r="K81" s="1">
        <f>IF(F81*(H81+J81)*(G81+I81+J81)&gt;0,1,0)</f>
        <v>0</v>
      </c>
      <c r="L81" s="1">
        <f>SUM(M81:Q81)</f>
        <v>1</v>
      </c>
      <c r="M81" s="1">
        <v>0</v>
      </c>
      <c r="N81" s="1">
        <v>0</v>
      </c>
      <c r="O81" s="1">
        <v>1</v>
      </c>
      <c r="R81" s="1">
        <f>IF(L81&gt;=3, 1, 0)</f>
        <v>0</v>
      </c>
      <c r="S81" s="1">
        <v>4</v>
      </c>
      <c r="T81" s="1">
        <v>0</v>
      </c>
      <c r="U81" s="1">
        <f>T81+S81</f>
        <v>4</v>
      </c>
      <c r="V81" s="1">
        <v>0</v>
      </c>
      <c r="X81" s="1">
        <v>4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</row>
    <row r="82" spans="1:30">
      <c r="A82" s="1" t="s">
        <v>147</v>
      </c>
      <c r="B82" s="1" t="s">
        <v>148</v>
      </c>
      <c r="C82" s="1">
        <f>(AD82+AC82)*R82</f>
        <v>0</v>
      </c>
      <c r="K82" s="1">
        <f>IF(F82*(H82+J82)*(G82+I82+J82)&gt;0,1,0)</f>
        <v>0</v>
      </c>
      <c r="L82" s="1">
        <f>SUM(M82:Q82)</f>
        <v>3</v>
      </c>
      <c r="M82" s="1">
        <v>1</v>
      </c>
      <c r="N82" s="1">
        <v>1</v>
      </c>
      <c r="O82" s="1">
        <v>0</v>
      </c>
      <c r="P82" s="1">
        <v>1</v>
      </c>
      <c r="R82" s="1">
        <f>IF(L82&gt;=3, 1, 0)</f>
        <v>1</v>
      </c>
      <c r="S82" s="1">
        <v>2</v>
      </c>
      <c r="T82" s="1">
        <v>1</v>
      </c>
      <c r="U82" s="1">
        <f>T82+S82</f>
        <v>3</v>
      </c>
      <c r="V82" s="1">
        <v>1</v>
      </c>
      <c r="X82" s="1">
        <v>4</v>
      </c>
      <c r="Y82" s="1">
        <v>2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</row>
    <row r="83" spans="1:30">
      <c r="A83" s="1" t="s">
        <v>153</v>
      </c>
      <c r="B83" s="1" t="s">
        <v>154</v>
      </c>
      <c r="C83" s="1">
        <f>(AD83+AC83)*R83</f>
        <v>0</v>
      </c>
      <c r="K83" s="1">
        <f>IF(F83*(H83+J83)*(G83+I83+J83)&gt;0,1,0)</f>
        <v>0</v>
      </c>
      <c r="L83" s="1">
        <f>SUM(M83:Q83)</f>
        <v>0</v>
      </c>
      <c r="M83" s="1">
        <v>0</v>
      </c>
      <c r="N83" s="1">
        <v>0</v>
      </c>
      <c r="O83" s="1">
        <v>0</v>
      </c>
      <c r="R83" s="1">
        <f>IF(L83&gt;=3, 1, 0)</f>
        <v>0</v>
      </c>
      <c r="S83" s="1">
        <v>4</v>
      </c>
      <c r="T83" s="1">
        <v>0</v>
      </c>
      <c r="U83" s="1">
        <f>T83+S83</f>
        <v>4</v>
      </c>
      <c r="V83" s="1">
        <v>0</v>
      </c>
      <c r="X83" s="1">
        <v>4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</row>
    <row r="84" spans="1:30">
      <c r="A84" s="1" t="s">
        <v>149</v>
      </c>
      <c r="B84" s="1" t="s">
        <v>150</v>
      </c>
      <c r="C84" s="1">
        <f>(AD84+AC84)*R84</f>
        <v>0</v>
      </c>
      <c r="K84" s="1">
        <f>IF(F84*(H84+J84)*(G84+I84+J84)&gt;0,1,0)</f>
        <v>0</v>
      </c>
      <c r="L84" s="1">
        <f>SUM(M84:Q84)</f>
        <v>1</v>
      </c>
      <c r="M84" s="1">
        <v>1</v>
      </c>
      <c r="N84" s="1">
        <v>0</v>
      </c>
      <c r="O84" s="1">
        <v>0</v>
      </c>
      <c r="R84" s="1">
        <f>IF(L84&gt;=3, 1, 0)</f>
        <v>0</v>
      </c>
      <c r="S84" s="1">
        <v>1</v>
      </c>
      <c r="T84" s="1">
        <v>0</v>
      </c>
      <c r="U84" s="1">
        <f>T84+S84</f>
        <v>1</v>
      </c>
      <c r="V84" s="1">
        <v>3</v>
      </c>
      <c r="X84" s="1">
        <v>4</v>
      </c>
      <c r="Y84" s="1">
        <v>1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</row>
    <row r="85" spans="1:30">
      <c r="A85" s="1" t="s">
        <v>155</v>
      </c>
      <c r="B85" s="1" t="s">
        <v>156</v>
      </c>
      <c r="C85" s="1">
        <f>(AD85+AC85)*R85</f>
        <v>0</v>
      </c>
      <c r="K85" s="1">
        <f>IF(F85*(H85+J85)*(G85+I85+J85)&gt;0,1,0)</f>
        <v>0</v>
      </c>
      <c r="L85" s="1">
        <f>SUM(M85:Q85)</f>
        <v>2</v>
      </c>
      <c r="M85" s="1">
        <v>1</v>
      </c>
      <c r="N85" s="1">
        <v>0</v>
      </c>
      <c r="O85" s="1">
        <v>1</v>
      </c>
      <c r="R85" s="1">
        <f>IF(L85&gt;=3, 1, 0)</f>
        <v>0</v>
      </c>
      <c r="S85" s="1">
        <v>2.5</v>
      </c>
      <c r="T85" s="1">
        <v>0</v>
      </c>
      <c r="U85" s="1">
        <f>T85+S85</f>
        <v>2.5</v>
      </c>
      <c r="V85" s="1">
        <v>0</v>
      </c>
      <c r="W85" s="1">
        <v>1</v>
      </c>
      <c r="X85" s="1">
        <v>3.5</v>
      </c>
      <c r="Y85" s="1">
        <v>1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</row>
    <row r="86" spans="1:30">
      <c r="A86" s="1" t="s">
        <v>159</v>
      </c>
      <c r="B86" s="1" t="s">
        <v>160</v>
      </c>
      <c r="C86" s="1">
        <f>(AD86+AC86)*R86</f>
        <v>0</v>
      </c>
      <c r="K86" s="1">
        <f>IF(F86*(H86+J86)*(G86+I86+J86)&gt;0,1,0)</f>
        <v>0</v>
      </c>
      <c r="L86" s="1">
        <f>SUM(M86:Q86)</f>
        <v>0</v>
      </c>
      <c r="M86" s="1">
        <v>0</v>
      </c>
      <c r="N86" s="1">
        <v>0</v>
      </c>
      <c r="O86" s="1">
        <v>0</v>
      </c>
      <c r="R86" s="1">
        <f>IF(L86&gt;=3, 1, 0)</f>
        <v>0</v>
      </c>
      <c r="S86" s="1">
        <v>2</v>
      </c>
      <c r="T86" s="1">
        <v>1</v>
      </c>
      <c r="U86" s="1">
        <f>T86+S86</f>
        <v>3</v>
      </c>
      <c r="V86" s="1">
        <v>0</v>
      </c>
      <c r="X86" s="1">
        <v>3</v>
      </c>
      <c r="Y86" s="1">
        <v>1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</row>
    <row r="87" spans="1:30">
      <c r="A87" s="1" t="s">
        <v>173</v>
      </c>
      <c r="B87" s="1" t="s">
        <v>174</v>
      </c>
      <c r="C87" s="1">
        <f>(AD87+AC87)*R87</f>
        <v>0</v>
      </c>
      <c r="K87" s="1">
        <f>IF(F87*(H87+J87)*(G87+I87+J87)&gt;0,1,0)</f>
        <v>0</v>
      </c>
      <c r="L87" s="1">
        <f>SUM(M87:Q87)</f>
        <v>1</v>
      </c>
      <c r="M87" s="1">
        <v>1</v>
      </c>
      <c r="N87" s="1">
        <v>0</v>
      </c>
      <c r="O87" s="1">
        <v>0</v>
      </c>
      <c r="R87" s="1">
        <f>IF(L87&gt;=3, 1, 0)</f>
        <v>0</v>
      </c>
      <c r="S87" s="1">
        <v>3</v>
      </c>
      <c r="T87" s="1">
        <v>0</v>
      </c>
      <c r="U87" s="1">
        <f>T87+S87</f>
        <v>3</v>
      </c>
      <c r="V87" s="1">
        <v>0</v>
      </c>
      <c r="X87" s="1">
        <v>3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</row>
    <row r="88" spans="1:30">
      <c r="A88" s="1" t="s">
        <v>169</v>
      </c>
      <c r="B88" s="1" t="s">
        <v>170</v>
      </c>
      <c r="C88" s="1">
        <f>(AD88+AC88)*R88</f>
        <v>0</v>
      </c>
      <c r="K88" s="1">
        <f>IF(F88*(H88+J88)*(G88+I88+J88)&gt;0,1,0)</f>
        <v>0</v>
      </c>
      <c r="L88" s="1">
        <f>SUM(M88:Q88)</f>
        <v>0</v>
      </c>
      <c r="M88" s="1">
        <v>0</v>
      </c>
      <c r="N88" s="1">
        <v>0</v>
      </c>
      <c r="O88" s="1">
        <v>0</v>
      </c>
      <c r="R88" s="1">
        <f>IF(L88&gt;=3, 1, 0)</f>
        <v>0</v>
      </c>
      <c r="S88" s="1">
        <v>3</v>
      </c>
      <c r="T88" s="1">
        <v>0</v>
      </c>
      <c r="U88" s="1">
        <f>T88+S88</f>
        <v>3</v>
      </c>
      <c r="V88" s="1">
        <v>0</v>
      </c>
      <c r="X88" s="1">
        <v>3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</row>
    <row r="89" spans="1:30">
      <c r="A89" s="1" t="s">
        <v>167</v>
      </c>
      <c r="B89" s="1" t="s">
        <v>168</v>
      </c>
      <c r="C89" s="1">
        <f>(AD89+AC89)*R89</f>
        <v>0</v>
      </c>
      <c r="K89" s="1">
        <f>IF(F89*(H89+J89)*(G89+I89+J89)&gt;0,1,0)</f>
        <v>0</v>
      </c>
      <c r="L89" s="1">
        <f>SUM(M89:Q89)</f>
        <v>0</v>
      </c>
      <c r="M89" s="1">
        <v>0</v>
      </c>
      <c r="N89" s="1">
        <v>0</v>
      </c>
      <c r="O89" s="1">
        <v>0</v>
      </c>
      <c r="R89" s="1">
        <f>IF(L89&gt;=3, 1, 0)</f>
        <v>0</v>
      </c>
      <c r="S89" s="1">
        <v>2</v>
      </c>
      <c r="T89" s="1">
        <v>0</v>
      </c>
      <c r="U89" s="1">
        <f>T89+S89</f>
        <v>2</v>
      </c>
      <c r="V89" s="1">
        <v>0</v>
      </c>
      <c r="W89" s="1">
        <v>1</v>
      </c>
      <c r="X89" s="1">
        <v>3</v>
      </c>
      <c r="Y89" s="1">
        <v>1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</row>
    <row r="90" spans="1:30">
      <c r="A90" s="1" t="s">
        <v>163</v>
      </c>
      <c r="B90" s="1" t="s">
        <v>164</v>
      </c>
      <c r="C90" s="1">
        <f>(AD90+AC90)*R90</f>
        <v>0</v>
      </c>
      <c r="K90" s="1">
        <f>IF(F90*(H90+J90)*(G90+I90+J90)&gt;0,1,0)</f>
        <v>0</v>
      </c>
      <c r="L90" s="1">
        <f>SUM(M90:Q90)</f>
        <v>3</v>
      </c>
      <c r="M90" s="1">
        <v>0</v>
      </c>
      <c r="N90" s="1">
        <v>1</v>
      </c>
      <c r="O90" s="1">
        <v>0</v>
      </c>
      <c r="Q90" s="1">
        <v>2</v>
      </c>
      <c r="R90" s="1">
        <f>IF(L90&gt;=3, 1, 0)</f>
        <v>1</v>
      </c>
      <c r="S90" s="1">
        <v>2</v>
      </c>
      <c r="T90" s="1">
        <v>0</v>
      </c>
      <c r="U90" s="1">
        <f>T90+S90</f>
        <v>2</v>
      </c>
      <c r="V90" s="1">
        <v>0</v>
      </c>
      <c r="W90" s="1">
        <v>1</v>
      </c>
      <c r="X90" s="1">
        <v>3</v>
      </c>
      <c r="Y90" s="1">
        <v>1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</row>
    <row r="91" spans="1:30">
      <c r="A91" s="1" t="s">
        <v>171</v>
      </c>
      <c r="B91" s="1" t="s">
        <v>172</v>
      </c>
      <c r="C91" s="1">
        <f>(AD91+AC91)*R91</f>
        <v>0</v>
      </c>
      <c r="K91" s="1">
        <f>IF(F91*(H91+J91)*(G91+I91+J91)&gt;0,1,0)</f>
        <v>0</v>
      </c>
      <c r="L91" s="1">
        <f>SUM(M91:Q91)</f>
        <v>0</v>
      </c>
      <c r="M91" s="1">
        <v>0</v>
      </c>
      <c r="N91" s="1">
        <v>0</v>
      </c>
      <c r="O91" s="1">
        <v>0</v>
      </c>
      <c r="R91" s="1">
        <f>IF(L91&gt;=3, 1, 0)</f>
        <v>0</v>
      </c>
      <c r="S91" s="1">
        <v>3</v>
      </c>
      <c r="T91" s="1">
        <v>0</v>
      </c>
      <c r="U91" s="1">
        <f>T91+S91</f>
        <v>3</v>
      </c>
      <c r="V91" s="1">
        <v>0</v>
      </c>
      <c r="X91" s="1">
        <v>3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</row>
    <row r="92" spans="1:30">
      <c r="A92" s="1" t="s">
        <v>165</v>
      </c>
      <c r="B92" s="1" t="s">
        <v>166</v>
      </c>
      <c r="C92" s="1">
        <f>(AD92+AC92)*R92</f>
        <v>0</v>
      </c>
      <c r="K92" s="1">
        <f>IF(F92*(H92+J92)*(G92+I92+J92)&gt;0,1,0)</f>
        <v>0</v>
      </c>
      <c r="L92" s="1">
        <f>SUM(M92:Q92)</f>
        <v>1</v>
      </c>
      <c r="M92" s="1">
        <v>0</v>
      </c>
      <c r="N92" s="1">
        <v>1</v>
      </c>
      <c r="O92" s="1">
        <v>0</v>
      </c>
      <c r="R92" s="1">
        <f>IF(L92&gt;=3, 1, 0)</f>
        <v>0</v>
      </c>
      <c r="S92" s="1">
        <v>1</v>
      </c>
      <c r="T92" s="1">
        <v>0</v>
      </c>
      <c r="U92" s="1">
        <f>T92+S92</f>
        <v>1</v>
      </c>
      <c r="V92" s="1">
        <v>1</v>
      </c>
      <c r="W92" s="1">
        <v>1</v>
      </c>
      <c r="X92" s="1">
        <v>3</v>
      </c>
      <c r="Y92" s="1">
        <v>1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</row>
    <row r="93" spans="1:30">
      <c r="A93" s="1" t="s">
        <v>161</v>
      </c>
      <c r="B93" s="1" t="s">
        <v>162</v>
      </c>
      <c r="C93" s="1">
        <f>(AD93+AC93)*R93</f>
        <v>0</v>
      </c>
      <c r="K93" s="1">
        <f>IF(F93*(H93+J93)*(G93+I93+J93)&gt;0,1,0)</f>
        <v>0</v>
      </c>
      <c r="L93" s="1">
        <f>SUM(M93:Q93)</f>
        <v>0</v>
      </c>
      <c r="M93" s="1">
        <v>0</v>
      </c>
      <c r="N93" s="1">
        <v>0</v>
      </c>
      <c r="O93" s="1">
        <v>0</v>
      </c>
      <c r="R93" s="1">
        <f>IF(L93&gt;=3, 1, 0)</f>
        <v>0</v>
      </c>
      <c r="S93" s="1">
        <v>2</v>
      </c>
      <c r="T93" s="1">
        <v>1</v>
      </c>
      <c r="U93" s="1">
        <f>T93+S93</f>
        <v>3</v>
      </c>
      <c r="V93" s="1">
        <v>0</v>
      </c>
      <c r="X93" s="1">
        <v>3</v>
      </c>
      <c r="Y93" s="1">
        <v>1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</row>
    <row r="94" spans="1:30">
      <c r="A94" s="1" t="s">
        <v>157</v>
      </c>
      <c r="B94" s="1" t="s">
        <v>158</v>
      </c>
      <c r="C94" s="1">
        <f>(AD94+AC94)*R94</f>
        <v>0</v>
      </c>
      <c r="K94" s="1">
        <f>IF(F94*(H94+J94)*(G94+I94+J94)&gt;0,1,0)</f>
        <v>0</v>
      </c>
      <c r="L94" s="1">
        <f>SUM(M94:Q94)</f>
        <v>3</v>
      </c>
      <c r="M94" s="1">
        <v>0</v>
      </c>
      <c r="N94" s="1">
        <v>1</v>
      </c>
      <c r="O94" s="1">
        <v>0</v>
      </c>
      <c r="Q94" s="1">
        <v>2</v>
      </c>
      <c r="R94" s="1">
        <f>IF(L94&gt;=3, 1, 0)</f>
        <v>1</v>
      </c>
      <c r="S94" s="1">
        <v>0</v>
      </c>
      <c r="T94" s="1">
        <v>2</v>
      </c>
      <c r="U94" s="1">
        <f>T94+S94</f>
        <v>2</v>
      </c>
      <c r="V94" s="1">
        <v>0</v>
      </c>
      <c r="W94" s="1">
        <v>1</v>
      </c>
      <c r="X94" s="1">
        <v>3</v>
      </c>
      <c r="Y94" s="1">
        <v>3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</row>
    <row r="95" spans="1:30">
      <c r="A95" s="1" t="s">
        <v>175</v>
      </c>
      <c r="B95" s="1" t="s">
        <v>176</v>
      </c>
      <c r="C95" s="1">
        <f>(AD95+AC95)*R95</f>
        <v>0</v>
      </c>
      <c r="K95" s="1">
        <f>IF(F95*(H95+J95)*(G95+I95+J95)&gt;0,1,0)</f>
        <v>0</v>
      </c>
      <c r="L95" s="1">
        <f>SUM(M95:Q95)</f>
        <v>4</v>
      </c>
      <c r="M95" s="1">
        <v>0</v>
      </c>
      <c r="N95" s="1">
        <v>1</v>
      </c>
      <c r="O95" s="1">
        <v>1</v>
      </c>
      <c r="Q95" s="1">
        <v>2</v>
      </c>
      <c r="R95" s="1">
        <f>IF(L95&gt;=3, 1, 0)</f>
        <v>1</v>
      </c>
      <c r="S95" s="1">
        <v>1</v>
      </c>
      <c r="T95" s="1">
        <v>0</v>
      </c>
      <c r="U95" s="1">
        <f>T95+S95</f>
        <v>1</v>
      </c>
      <c r="V95" s="1">
        <v>1.5</v>
      </c>
      <c r="X95" s="1">
        <v>2.5</v>
      </c>
      <c r="Y95" s="1">
        <v>1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</row>
    <row r="96" spans="1:30">
      <c r="A96" s="1" t="s">
        <v>181</v>
      </c>
      <c r="B96" s="1" t="s">
        <v>182</v>
      </c>
      <c r="C96" s="1">
        <f>(AD96+AC96)*R96</f>
        <v>0</v>
      </c>
      <c r="K96" s="1">
        <f>IF(F96*(H96+J96)*(G96+I96+J96)&gt;0,1,0)</f>
        <v>0</v>
      </c>
      <c r="L96" s="1">
        <f>SUM(M96:Q96)</f>
        <v>3</v>
      </c>
      <c r="M96" s="1">
        <v>0</v>
      </c>
      <c r="N96" s="1">
        <v>1</v>
      </c>
      <c r="O96" s="1">
        <v>0</v>
      </c>
      <c r="Q96" s="1">
        <v>2</v>
      </c>
      <c r="R96" s="1">
        <f>IF(L96&gt;=3, 1, 0)</f>
        <v>1</v>
      </c>
      <c r="S96" s="1">
        <v>1</v>
      </c>
      <c r="T96" s="1">
        <v>1</v>
      </c>
      <c r="U96" s="1">
        <f>T96+S96</f>
        <v>2</v>
      </c>
      <c r="V96" s="1">
        <v>0</v>
      </c>
      <c r="X96" s="1">
        <v>2</v>
      </c>
      <c r="Y96" s="1">
        <v>1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</row>
    <row r="97" spans="1:30">
      <c r="A97" s="1" t="s">
        <v>193</v>
      </c>
      <c r="B97" s="1" t="s">
        <v>194</v>
      </c>
      <c r="C97" s="1">
        <f>(AD97+AC97)*R97</f>
        <v>0</v>
      </c>
      <c r="F97" s="1">
        <v>1</v>
      </c>
      <c r="G97" s="1">
        <v>1</v>
      </c>
      <c r="K97" s="1">
        <f>IF(F97*(H97+J97)*(G97+I97+J97)&gt;0,1,0)</f>
        <v>0</v>
      </c>
      <c r="L97" s="1">
        <f>SUM(M97:Q97)</f>
        <v>2</v>
      </c>
      <c r="M97" s="1">
        <v>0</v>
      </c>
      <c r="N97" s="1">
        <v>0</v>
      </c>
      <c r="O97" s="1">
        <v>1</v>
      </c>
      <c r="P97" s="1">
        <v>1</v>
      </c>
      <c r="R97" s="1">
        <f>IF(L97&gt;=3, 1, 0)</f>
        <v>0</v>
      </c>
      <c r="S97" s="1">
        <v>0</v>
      </c>
      <c r="T97" s="1">
        <v>0</v>
      </c>
      <c r="U97" s="1">
        <f>T97+S97</f>
        <v>0</v>
      </c>
      <c r="V97" s="1">
        <v>1</v>
      </c>
      <c r="W97" s="1">
        <v>1</v>
      </c>
      <c r="X97" s="1">
        <v>2</v>
      </c>
      <c r="Y97" s="1">
        <v>1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</row>
    <row r="98" spans="1:30">
      <c r="A98" s="1" t="s">
        <v>201</v>
      </c>
      <c r="B98" s="1" t="s">
        <v>202</v>
      </c>
      <c r="C98" s="1">
        <f>(AD98+AC98)*R98</f>
        <v>0</v>
      </c>
      <c r="K98" s="1">
        <f>IF(F98*(H98+J98)*(G98+I98+J98)&gt;0,1,0)</f>
        <v>0</v>
      </c>
      <c r="L98" s="1">
        <f>SUM(M98:Q98)</f>
        <v>0</v>
      </c>
      <c r="M98" s="1">
        <v>0</v>
      </c>
      <c r="N98" s="1">
        <v>0</v>
      </c>
      <c r="O98" s="1">
        <v>0</v>
      </c>
      <c r="R98" s="1">
        <f>IF(L98&gt;=3, 1, 0)</f>
        <v>0</v>
      </c>
      <c r="S98" s="1">
        <v>2</v>
      </c>
      <c r="T98" s="1">
        <v>0</v>
      </c>
      <c r="U98" s="1">
        <f>T98+S98</f>
        <v>2</v>
      </c>
      <c r="V98" s="1">
        <v>0</v>
      </c>
      <c r="X98" s="1">
        <v>2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</row>
    <row r="99" spans="1:30">
      <c r="A99" s="1" t="s">
        <v>203</v>
      </c>
      <c r="B99" s="1" t="s">
        <v>204</v>
      </c>
      <c r="C99" s="1">
        <f>(AD99+AC99)*R99</f>
        <v>0</v>
      </c>
      <c r="K99" s="1">
        <f>IF(F99*(H99+J99)*(G99+I99+J99)&gt;0,1,0)</f>
        <v>0</v>
      </c>
      <c r="L99" s="1">
        <f>SUM(M99:Q99)</f>
        <v>1</v>
      </c>
      <c r="M99" s="1">
        <v>0</v>
      </c>
      <c r="N99" s="1">
        <v>0</v>
      </c>
      <c r="O99" s="1">
        <v>1</v>
      </c>
      <c r="R99" s="1">
        <f>IF(L99&gt;=3, 1, 0)</f>
        <v>0</v>
      </c>
      <c r="S99" s="1">
        <v>2</v>
      </c>
      <c r="T99" s="1">
        <v>0</v>
      </c>
      <c r="U99" s="1">
        <f>T99+S99</f>
        <v>2</v>
      </c>
      <c r="V99" s="1">
        <v>0</v>
      </c>
      <c r="X99" s="1">
        <v>2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</row>
    <row r="100" spans="1:30">
      <c r="A100" s="1" t="s">
        <v>207</v>
      </c>
      <c r="B100" s="1" t="s">
        <v>208</v>
      </c>
      <c r="C100" s="1">
        <f>(AD100+AC100)*R100</f>
        <v>0</v>
      </c>
      <c r="K100" s="1">
        <f>IF(F100*(H100+J100)*(G100+I100+J100)&gt;0,1,0)</f>
        <v>0</v>
      </c>
      <c r="L100" s="1">
        <f>SUM(M100:Q100)</f>
        <v>1</v>
      </c>
      <c r="M100" s="1">
        <v>0</v>
      </c>
      <c r="N100" s="1">
        <v>1</v>
      </c>
      <c r="O100" s="1">
        <v>0</v>
      </c>
      <c r="R100" s="1">
        <f>IF(L100&gt;=3, 1, 0)</f>
        <v>0</v>
      </c>
      <c r="S100" s="1">
        <v>2</v>
      </c>
      <c r="T100" s="1">
        <v>0</v>
      </c>
      <c r="U100" s="1">
        <f>T100+S100</f>
        <v>2</v>
      </c>
      <c r="V100" s="1">
        <v>0</v>
      </c>
      <c r="X100" s="1">
        <v>2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</row>
    <row r="101" spans="1:30">
      <c r="A101" s="1" t="s">
        <v>191</v>
      </c>
      <c r="B101" s="1" t="s">
        <v>192</v>
      </c>
      <c r="C101" s="1">
        <f>(AD101+AC101)*R101</f>
        <v>0</v>
      </c>
      <c r="K101" s="1">
        <f>IF(F101*(H101+J101)*(G101+I101+J101)&gt;0,1,0)</f>
        <v>0</v>
      </c>
      <c r="L101" s="1">
        <f>SUM(M101:Q101)</f>
        <v>1</v>
      </c>
      <c r="M101" s="1">
        <v>0</v>
      </c>
      <c r="N101" s="1">
        <v>1</v>
      </c>
      <c r="O101" s="1">
        <v>0</v>
      </c>
      <c r="R101" s="1">
        <f>IF(L101&gt;=3, 1, 0)</f>
        <v>0</v>
      </c>
      <c r="S101" s="1">
        <v>0</v>
      </c>
      <c r="T101" s="1">
        <v>0</v>
      </c>
      <c r="U101" s="1">
        <f>T101+S101</f>
        <v>0</v>
      </c>
      <c r="V101" s="1">
        <v>1</v>
      </c>
      <c r="W101" s="1">
        <v>1</v>
      </c>
      <c r="X101" s="1">
        <v>2</v>
      </c>
      <c r="Y101" s="1">
        <v>1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</row>
    <row r="102" spans="1:30">
      <c r="A102" s="1" t="s">
        <v>197</v>
      </c>
      <c r="B102" s="1" t="s">
        <v>198</v>
      </c>
      <c r="C102" s="1">
        <f>(AD102+AC102)*R102</f>
        <v>0</v>
      </c>
      <c r="K102" s="1">
        <f>IF(F102*(H102+J102)*(G102+I102+J102)&gt;0,1,0)</f>
        <v>0</v>
      </c>
      <c r="L102" s="1">
        <f>SUM(M102:Q102)</f>
        <v>2</v>
      </c>
      <c r="M102" s="1">
        <v>0</v>
      </c>
      <c r="N102" s="1">
        <v>0</v>
      </c>
      <c r="O102" s="1">
        <v>1</v>
      </c>
      <c r="P102" s="1">
        <v>1</v>
      </c>
      <c r="R102" s="1">
        <f>IF(L102&gt;=3, 1, 0)</f>
        <v>0</v>
      </c>
      <c r="S102" s="1">
        <v>2</v>
      </c>
      <c r="T102" s="1">
        <v>0</v>
      </c>
      <c r="U102" s="1">
        <f>T102+S102</f>
        <v>2</v>
      </c>
      <c r="V102" s="1">
        <v>0</v>
      </c>
      <c r="X102" s="1">
        <v>2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</row>
    <row r="103" spans="1:30">
      <c r="A103" s="1" t="s">
        <v>205</v>
      </c>
      <c r="B103" s="1" t="s">
        <v>206</v>
      </c>
      <c r="C103" s="1">
        <f>(AD103+AC103)*R103</f>
        <v>0</v>
      </c>
      <c r="K103" s="1">
        <f>IF(F103*(H103+J103)*(G103+I103+J103)&gt;0,1,0)</f>
        <v>0</v>
      </c>
      <c r="L103" s="1">
        <f>SUM(M103:Q103)</f>
        <v>0</v>
      </c>
      <c r="M103" s="1">
        <v>0</v>
      </c>
      <c r="N103" s="1">
        <v>0</v>
      </c>
      <c r="O103" s="1">
        <v>0</v>
      </c>
      <c r="R103" s="1">
        <f>IF(L103&gt;=3, 1, 0)</f>
        <v>0</v>
      </c>
      <c r="S103" s="1">
        <v>2</v>
      </c>
      <c r="T103" s="1">
        <v>0</v>
      </c>
      <c r="U103" s="1">
        <f>T103+S103</f>
        <v>2</v>
      </c>
      <c r="V103" s="1">
        <v>0</v>
      </c>
      <c r="X103" s="1">
        <v>2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</row>
    <row r="104" spans="1:30">
      <c r="A104" s="1" t="s">
        <v>179</v>
      </c>
      <c r="B104" s="1" t="s">
        <v>180</v>
      </c>
      <c r="C104" s="1">
        <f>(AD104+AC104)*R104</f>
        <v>0</v>
      </c>
      <c r="K104" s="1">
        <f>IF(F104*(H104+J104)*(G104+I104+J104)&gt;0,1,0)</f>
        <v>0</v>
      </c>
      <c r="L104" s="1">
        <f>SUM(M104:Q104)</f>
        <v>2</v>
      </c>
      <c r="M104" s="1">
        <v>1</v>
      </c>
      <c r="N104" s="1">
        <v>0</v>
      </c>
      <c r="O104" s="1">
        <v>1</v>
      </c>
      <c r="R104" s="1">
        <f>IF(L104&gt;=3, 1, 0)</f>
        <v>0</v>
      </c>
      <c r="S104" s="1">
        <v>0</v>
      </c>
      <c r="T104" s="1">
        <v>1.5</v>
      </c>
      <c r="U104" s="1">
        <f>T104+S104</f>
        <v>1.5</v>
      </c>
      <c r="V104" s="1">
        <v>0.5</v>
      </c>
      <c r="X104" s="1">
        <v>2</v>
      </c>
      <c r="Y104" s="1">
        <v>2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</row>
    <row r="105" spans="1:30">
      <c r="A105" s="1" t="s">
        <v>189</v>
      </c>
      <c r="B105" s="1" t="s">
        <v>190</v>
      </c>
      <c r="C105" s="1">
        <f>(AD105+AC105)*R105</f>
        <v>0</v>
      </c>
      <c r="K105" s="1">
        <f>IF(F105*(H105+J105)*(G105+I105+J105)&gt;0,1,0)</f>
        <v>0</v>
      </c>
      <c r="L105" s="1">
        <f>SUM(M105:Q105)</f>
        <v>4</v>
      </c>
      <c r="M105" s="1">
        <v>1</v>
      </c>
      <c r="N105" s="1">
        <v>0</v>
      </c>
      <c r="O105" s="1">
        <v>0</v>
      </c>
      <c r="P105" s="1">
        <v>1</v>
      </c>
      <c r="Q105" s="1">
        <v>2</v>
      </c>
      <c r="R105" s="1">
        <f>IF(L105&gt;=3, 1, 0)</f>
        <v>1</v>
      </c>
      <c r="S105" s="1">
        <v>0</v>
      </c>
      <c r="T105" s="1">
        <v>0</v>
      </c>
      <c r="U105" s="1">
        <f>T105+S105</f>
        <v>0</v>
      </c>
      <c r="V105" s="1">
        <v>1</v>
      </c>
      <c r="W105" s="1">
        <v>1</v>
      </c>
      <c r="X105" s="1">
        <v>2</v>
      </c>
      <c r="Y105" s="1">
        <v>1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</row>
    <row r="106" spans="1:30">
      <c r="A106" s="1" t="s">
        <v>185</v>
      </c>
      <c r="B106" s="1" t="s">
        <v>186</v>
      </c>
      <c r="C106" s="1">
        <f>(AD106+AC106)*R106</f>
        <v>0</v>
      </c>
      <c r="E106" s="1">
        <v>1</v>
      </c>
      <c r="K106" s="1">
        <f>IF(F106*(H106+J106)*(G106+I106+J106)&gt;0,1,0)</f>
        <v>0</v>
      </c>
      <c r="L106" s="1">
        <f>SUM(M106:Q106)</f>
        <v>3</v>
      </c>
      <c r="M106" s="1">
        <v>0</v>
      </c>
      <c r="N106" s="1">
        <v>0</v>
      </c>
      <c r="O106" s="1">
        <v>1</v>
      </c>
      <c r="Q106" s="1">
        <v>2</v>
      </c>
      <c r="R106" s="1">
        <f>IF(L106&gt;=3, 1, 0)</f>
        <v>1</v>
      </c>
      <c r="S106" s="1">
        <v>1</v>
      </c>
      <c r="T106" s="1">
        <v>1</v>
      </c>
      <c r="U106" s="1">
        <f>T106+S106</f>
        <v>2</v>
      </c>
      <c r="V106" s="1">
        <v>0</v>
      </c>
      <c r="X106" s="1">
        <v>2</v>
      </c>
      <c r="Y106" s="1">
        <v>1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</row>
    <row r="107" spans="1:30">
      <c r="A107" s="1" t="s">
        <v>183</v>
      </c>
      <c r="B107" s="1" t="s">
        <v>184</v>
      </c>
      <c r="C107" s="1">
        <f>(AD107+AC107)*R107</f>
        <v>0</v>
      </c>
      <c r="K107" s="1">
        <f>IF(F107*(H107+J107)*(G107+I107+J107)&gt;0,1,0)</f>
        <v>0</v>
      </c>
      <c r="L107" s="1">
        <f>SUM(M107:Q107)</f>
        <v>3</v>
      </c>
      <c r="M107" s="1">
        <v>0</v>
      </c>
      <c r="N107" s="1">
        <v>0</v>
      </c>
      <c r="O107" s="1">
        <v>0</v>
      </c>
      <c r="P107" s="1">
        <v>1</v>
      </c>
      <c r="Q107" s="1">
        <v>2</v>
      </c>
      <c r="R107" s="1">
        <f>IF(L107&gt;=3, 1, 0)</f>
        <v>1</v>
      </c>
      <c r="S107" s="1">
        <v>1</v>
      </c>
      <c r="T107" s="1">
        <v>0</v>
      </c>
      <c r="U107" s="1">
        <f>T107+S107</f>
        <v>1</v>
      </c>
      <c r="V107" s="1">
        <v>1</v>
      </c>
      <c r="X107" s="1">
        <v>2</v>
      </c>
      <c r="Y107" s="1">
        <v>1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</row>
    <row r="108" spans="1:30">
      <c r="A108" s="1" t="s">
        <v>199</v>
      </c>
      <c r="B108" s="1" t="s">
        <v>200</v>
      </c>
      <c r="C108" s="1">
        <f>(AD108+AC108)*R108</f>
        <v>0</v>
      </c>
      <c r="K108" s="1">
        <f>IF(F108*(H108+J108)*(G108+I108+J108)&gt;0,1,0)</f>
        <v>0</v>
      </c>
      <c r="L108" s="1">
        <f>SUM(M108:Q108)</f>
        <v>0</v>
      </c>
      <c r="M108" s="1">
        <v>0</v>
      </c>
      <c r="N108" s="1">
        <v>0</v>
      </c>
      <c r="O108" s="1">
        <v>0</v>
      </c>
      <c r="R108" s="1">
        <f>IF(L108&gt;=3, 1, 0)</f>
        <v>0</v>
      </c>
      <c r="S108" s="1">
        <v>2</v>
      </c>
      <c r="T108" s="1">
        <v>0</v>
      </c>
      <c r="U108" s="1">
        <f>T108+S108</f>
        <v>2</v>
      </c>
      <c r="V108" s="1">
        <v>0</v>
      </c>
      <c r="X108" s="1">
        <v>2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</row>
    <row r="109" spans="1:30">
      <c r="A109" s="1" t="s">
        <v>187</v>
      </c>
      <c r="B109" s="1" t="s">
        <v>188</v>
      </c>
      <c r="C109" s="1">
        <f>(AD109+AC109)*R109</f>
        <v>0</v>
      </c>
      <c r="K109" s="1">
        <f>IF(F109*(H109+J109)*(G109+I109+J109)&gt;0,1,0)</f>
        <v>0</v>
      </c>
      <c r="L109" s="1">
        <f>SUM(M109:Q109)</f>
        <v>2</v>
      </c>
      <c r="M109" s="1">
        <v>0</v>
      </c>
      <c r="N109" s="1">
        <v>1</v>
      </c>
      <c r="O109" s="1">
        <v>0</v>
      </c>
      <c r="Q109" s="1">
        <v>1</v>
      </c>
      <c r="R109" s="1">
        <f>IF(L109&gt;=3, 1, 0)</f>
        <v>0</v>
      </c>
      <c r="S109" s="1">
        <v>0</v>
      </c>
      <c r="T109" s="1">
        <v>0</v>
      </c>
      <c r="U109" s="1">
        <f>T109+S109</f>
        <v>0</v>
      </c>
      <c r="V109" s="1">
        <v>2</v>
      </c>
      <c r="X109" s="1">
        <v>2</v>
      </c>
      <c r="Y109" s="1">
        <v>1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</row>
    <row r="110" spans="1:30">
      <c r="A110" s="1" t="s">
        <v>209</v>
      </c>
      <c r="B110" s="1" t="s">
        <v>210</v>
      </c>
      <c r="C110" s="1">
        <f>(AD110+AC110)*R110</f>
        <v>0</v>
      </c>
      <c r="K110" s="1">
        <f>IF(F110*(H110+J110)*(G110+I110+J110)&gt;0,1,0)</f>
        <v>0</v>
      </c>
      <c r="L110" s="1">
        <f>SUM(M110:Q110)</f>
        <v>1</v>
      </c>
      <c r="M110" s="1">
        <v>0</v>
      </c>
      <c r="N110" s="1">
        <v>0</v>
      </c>
      <c r="O110" s="1">
        <v>1</v>
      </c>
      <c r="R110" s="1">
        <f>IF(L110&gt;=3, 1, 0)</f>
        <v>0</v>
      </c>
      <c r="S110" s="1">
        <v>1.5</v>
      </c>
      <c r="U110" s="1">
        <f>T110+S110</f>
        <v>1.5</v>
      </c>
      <c r="V110" s="1">
        <v>0</v>
      </c>
      <c r="X110" s="1">
        <v>1.5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</row>
    <row r="111" spans="1:30">
      <c r="A111" s="1" t="s">
        <v>272</v>
      </c>
      <c r="B111" s="1" t="s">
        <v>273</v>
      </c>
      <c r="C111" s="1">
        <f>(AD111+AC111)*R111</f>
        <v>0</v>
      </c>
      <c r="K111" s="1">
        <f>IF(F111*(H111+J111)*(G111+I111+J111)&gt;0,1,0)</f>
        <v>0</v>
      </c>
      <c r="L111" s="1">
        <f>SUM(M111:Q111)</f>
        <v>0</v>
      </c>
      <c r="M111" s="1">
        <v>0</v>
      </c>
      <c r="N111" s="1">
        <v>0</v>
      </c>
      <c r="O111" s="1">
        <v>0</v>
      </c>
      <c r="R111" s="1">
        <f>IF(L111&gt;=3, 1, 0)</f>
        <v>0</v>
      </c>
      <c r="S111" s="1">
        <v>1</v>
      </c>
      <c r="T111" s="1">
        <v>0</v>
      </c>
      <c r="U111" s="1">
        <f>T111+S111</f>
        <v>1</v>
      </c>
      <c r="V111" s="1">
        <v>0</v>
      </c>
      <c r="X111" s="1">
        <v>1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</row>
    <row r="112" spans="1:30">
      <c r="A112" s="1" t="s">
        <v>229</v>
      </c>
      <c r="B112" s="1" t="s">
        <v>230</v>
      </c>
      <c r="C112" s="1">
        <f>(AD112+AC112)*R112</f>
        <v>0</v>
      </c>
      <c r="K112" s="1">
        <f>IF(F112*(H112+J112)*(G112+I112+J112)&gt;0,1,0)</f>
        <v>0</v>
      </c>
      <c r="L112" s="1">
        <f>SUM(M112:Q112)</f>
        <v>1</v>
      </c>
      <c r="M112" s="1">
        <v>0</v>
      </c>
      <c r="N112" s="1">
        <v>0</v>
      </c>
      <c r="O112" s="1">
        <v>1</v>
      </c>
      <c r="R112" s="1">
        <f>IF(L112&gt;=3, 1, 0)</f>
        <v>0</v>
      </c>
      <c r="S112" s="1">
        <v>0</v>
      </c>
      <c r="T112" s="1">
        <v>1</v>
      </c>
      <c r="U112" s="1">
        <f>T112+S112</f>
        <v>1</v>
      </c>
      <c r="V112" s="1">
        <v>0</v>
      </c>
      <c r="X112" s="1">
        <v>1</v>
      </c>
      <c r="Y112" s="1">
        <v>1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</row>
    <row r="113" spans="1:30">
      <c r="A113" s="1" t="s">
        <v>227</v>
      </c>
      <c r="B113" s="1" t="s">
        <v>228</v>
      </c>
      <c r="C113" s="1">
        <f>(AD113+AC113)*R113</f>
        <v>0</v>
      </c>
      <c r="K113" s="1">
        <f>IF(F113*(H113+J113)*(G113+I113+J113)&gt;0,1,0)</f>
        <v>0</v>
      </c>
      <c r="L113" s="1">
        <f>SUM(M113:Q113)</f>
        <v>0</v>
      </c>
      <c r="M113" s="1">
        <v>0</v>
      </c>
      <c r="N113" s="1">
        <v>0</v>
      </c>
      <c r="O113" s="1">
        <v>0</v>
      </c>
      <c r="R113" s="1">
        <f>IF(L113&gt;=3, 1, 0)</f>
        <v>0</v>
      </c>
      <c r="S113" s="1">
        <v>0</v>
      </c>
      <c r="T113" s="1">
        <v>1</v>
      </c>
      <c r="U113" s="1">
        <f>T113+S113</f>
        <v>1</v>
      </c>
      <c r="V113" s="1">
        <v>0</v>
      </c>
      <c r="X113" s="1">
        <v>1</v>
      </c>
      <c r="Y113" s="1">
        <v>1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</row>
    <row r="114" spans="1:30">
      <c r="A114" s="1" t="s">
        <v>211</v>
      </c>
      <c r="B114" s="1" t="s">
        <v>212</v>
      </c>
      <c r="C114" s="1">
        <f>(AD114+AC114)*R114</f>
        <v>0</v>
      </c>
      <c r="K114" s="1">
        <f>IF(F114*(H114+J114)*(G114+I114+J114)&gt;0,1,0)</f>
        <v>0</v>
      </c>
      <c r="L114" s="1">
        <f>SUM(M114:Q114)</f>
        <v>3</v>
      </c>
      <c r="M114" s="1">
        <v>0</v>
      </c>
      <c r="N114" s="1">
        <v>1</v>
      </c>
      <c r="O114" s="1">
        <v>0</v>
      </c>
      <c r="Q114" s="1">
        <v>2</v>
      </c>
      <c r="R114" s="1">
        <f>IF(L114&gt;=3, 1, 0)</f>
        <v>1</v>
      </c>
      <c r="S114" s="1">
        <v>0</v>
      </c>
      <c r="T114" s="1">
        <v>0</v>
      </c>
      <c r="U114" s="1">
        <f>T114+S114</f>
        <v>0</v>
      </c>
      <c r="V114" s="1">
        <v>0</v>
      </c>
      <c r="W114" s="1">
        <v>1</v>
      </c>
      <c r="X114" s="1">
        <v>1</v>
      </c>
      <c r="Y114" s="1">
        <v>1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</row>
    <row r="115" spans="1:30">
      <c r="A115" s="1" t="s">
        <v>249</v>
      </c>
      <c r="B115" s="1" t="s">
        <v>250</v>
      </c>
      <c r="C115" s="1">
        <f>(AD115+AC115)*R115</f>
        <v>0</v>
      </c>
      <c r="K115" s="1">
        <f>IF(F115*(H115+J115)*(G115+I115+J115)&gt;0,1,0)</f>
        <v>0</v>
      </c>
      <c r="L115" s="1">
        <f>SUM(M115:Q115)</f>
        <v>1</v>
      </c>
      <c r="M115" s="1">
        <v>0</v>
      </c>
      <c r="N115" s="1">
        <v>0</v>
      </c>
      <c r="O115" s="1">
        <v>1</v>
      </c>
      <c r="R115" s="1">
        <f>IF(L115&gt;=3, 1, 0)</f>
        <v>0</v>
      </c>
      <c r="S115" s="1">
        <v>0</v>
      </c>
      <c r="T115" s="1">
        <v>0</v>
      </c>
      <c r="U115" s="1">
        <f>T115+S115</f>
        <v>0</v>
      </c>
      <c r="V115" s="1">
        <v>0</v>
      </c>
      <c r="W115" s="1">
        <v>1</v>
      </c>
      <c r="X115" s="1">
        <v>1</v>
      </c>
      <c r="Y115" s="1">
        <v>1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</row>
    <row r="116" spans="1:30">
      <c r="A116" s="1" t="s">
        <v>259</v>
      </c>
      <c r="B116" s="1" t="s">
        <v>260</v>
      </c>
      <c r="C116" s="1">
        <f>(AD116+AC116)*R116</f>
        <v>0</v>
      </c>
      <c r="D116" s="1">
        <v>1</v>
      </c>
      <c r="K116" s="1">
        <f>IF(F116*(H116+J116)*(G116+I116+J116)&gt;0,1,0)</f>
        <v>0</v>
      </c>
      <c r="L116" s="1">
        <f>SUM(M116:Q116)</f>
        <v>0</v>
      </c>
      <c r="M116" s="1">
        <v>0</v>
      </c>
      <c r="N116" s="1">
        <v>0</v>
      </c>
      <c r="O116" s="1">
        <v>0</v>
      </c>
      <c r="R116" s="1">
        <f>IF(L116&gt;=3, 1, 0)</f>
        <v>0</v>
      </c>
      <c r="S116" s="1">
        <v>1</v>
      </c>
      <c r="T116" s="1">
        <v>0</v>
      </c>
      <c r="U116" s="1">
        <f>T116+S116</f>
        <v>1</v>
      </c>
      <c r="V116" s="1">
        <v>0</v>
      </c>
      <c r="X116" s="1">
        <v>1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</row>
    <row r="117" spans="1:30">
      <c r="A117" s="1">
        <v>123456</v>
      </c>
      <c r="B117" s="1" t="s">
        <v>269</v>
      </c>
      <c r="C117" s="1">
        <f>(AD117+AC117)*R117</f>
        <v>0</v>
      </c>
      <c r="K117" s="1">
        <f>IF(F117*(H117+J117)*(G117+I117+J117)&gt;0,1,0)</f>
        <v>0</v>
      </c>
      <c r="L117" s="1">
        <f>SUM(M117:Q117)</f>
        <v>0</v>
      </c>
      <c r="M117" s="1">
        <v>0</v>
      </c>
      <c r="N117" s="1">
        <v>0</v>
      </c>
      <c r="O117" s="1">
        <v>0</v>
      </c>
      <c r="R117" s="1">
        <f>IF(L117&gt;=3, 1, 0)</f>
        <v>0</v>
      </c>
      <c r="S117" s="1">
        <v>1</v>
      </c>
      <c r="T117" s="1">
        <v>0</v>
      </c>
      <c r="U117" s="1">
        <f>T117+S117</f>
        <v>1</v>
      </c>
      <c r="V117" s="1">
        <v>0</v>
      </c>
      <c r="X117" s="1">
        <v>1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</row>
    <row r="118" spans="1:30">
      <c r="A118" s="1" t="s">
        <v>274</v>
      </c>
      <c r="B118" s="1" t="s">
        <v>275</v>
      </c>
      <c r="C118" s="1">
        <f>(AD118+AC118)*R118</f>
        <v>0</v>
      </c>
      <c r="K118" s="1">
        <f>IF(F118*(H118+J118)*(G118+I118+J118)&gt;0,1,0)</f>
        <v>0</v>
      </c>
      <c r="L118" s="1">
        <f>SUM(M118:Q118)</f>
        <v>3</v>
      </c>
      <c r="M118" s="1">
        <v>0</v>
      </c>
      <c r="N118" s="1">
        <v>1</v>
      </c>
      <c r="O118" s="1">
        <v>0</v>
      </c>
      <c r="Q118" s="1">
        <v>2</v>
      </c>
      <c r="R118" s="1">
        <f>IF(L118&gt;=3, 1, 0)</f>
        <v>1</v>
      </c>
      <c r="S118" s="1">
        <v>1</v>
      </c>
      <c r="T118" s="1">
        <v>0</v>
      </c>
      <c r="U118" s="1">
        <f>T118+S118</f>
        <v>1</v>
      </c>
      <c r="V118" s="1">
        <v>0</v>
      </c>
      <c r="X118" s="1">
        <v>1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</row>
    <row r="119" spans="1:30">
      <c r="A119" s="1" t="s">
        <v>247</v>
      </c>
      <c r="B119" s="1" t="s">
        <v>248</v>
      </c>
      <c r="C119" s="1">
        <f>(AD119+AC119)*R119</f>
        <v>0</v>
      </c>
      <c r="K119" s="1">
        <f>IF(F119*(H119+J119)*(G119+I119+J119)&gt;0,1,0)</f>
        <v>0</v>
      </c>
      <c r="L119" s="1">
        <f>SUM(M119:Q119)</f>
        <v>1</v>
      </c>
      <c r="M119" s="1">
        <v>0</v>
      </c>
      <c r="N119" s="1">
        <v>1</v>
      </c>
      <c r="O119" s="1">
        <v>0</v>
      </c>
      <c r="R119" s="1">
        <f>IF(L119&gt;=3, 1, 0)</f>
        <v>0</v>
      </c>
      <c r="S119" s="1">
        <v>0</v>
      </c>
      <c r="T119" s="1">
        <v>0</v>
      </c>
      <c r="U119" s="1">
        <f>T119+S119</f>
        <v>0</v>
      </c>
      <c r="V119" s="1">
        <v>1</v>
      </c>
      <c r="X119" s="1">
        <v>1</v>
      </c>
      <c r="Y119" s="1">
        <v>1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</row>
    <row r="120" spans="1:30">
      <c r="A120" s="1" t="s">
        <v>221</v>
      </c>
      <c r="B120" s="1" t="s">
        <v>222</v>
      </c>
      <c r="C120" s="1">
        <f>(AD120+AC120)*R120</f>
        <v>0</v>
      </c>
      <c r="K120" s="1">
        <f>IF(F120*(H120+J120)*(G120+I120+J120)&gt;0,1,0)</f>
        <v>0</v>
      </c>
      <c r="L120" s="1">
        <f>SUM(M120:Q120)</f>
        <v>0</v>
      </c>
      <c r="M120" s="1">
        <v>0</v>
      </c>
      <c r="N120" s="1">
        <v>0</v>
      </c>
      <c r="O120" s="1">
        <v>0</v>
      </c>
      <c r="R120" s="1">
        <f>IF(L120&gt;=3, 1, 0)</f>
        <v>0</v>
      </c>
      <c r="S120" s="1">
        <v>0</v>
      </c>
      <c r="T120" s="1">
        <v>1</v>
      </c>
      <c r="U120" s="1">
        <f>T120+S120</f>
        <v>1</v>
      </c>
      <c r="V120" s="1">
        <v>0</v>
      </c>
      <c r="X120" s="1">
        <v>1</v>
      </c>
      <c r="Y120" s="1">
        <v>1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</row>
    <row r="121" spans="1:30">
      <c r="A121" s="1" t="s">
        <v>213</v>
      </c>
      <c r="B121" s="1" t="s">
        <v>214</v>
      </c>
      <c r="C121" s="1">
        <f>(AD121+AC121)*R121</f>
        <v>0</v>
      </c>
      <c r="K121" s="1">
        <f>IF(F121*(H121+J121)*(G121+I121+J121)&gt;0,1,0)</f>
        <v>0</v>
      </c>
      <c r="L121" s="1">
        <f>SUM(M121:Q121)</f>
        <v>3</v>
      </c>
      <c r="M121" s="1">
        <v>0</v>
      </c>
      <c r="N121" s="1">
        <v>1</v>
      </c>
      <c r="O121" s="1">
        <v>0</v>
      </c>
      <c r="Q121" s="1">
        <v>2</v>
      </c>
      <c r="R121" s="1">
        <f>IF(L121&gt;=3, 1, 0)</f>
        <v>1</v>
      </c>
      <c r="S121" s="1">
        <v>0</v>
      </c>
      <c r="T121" s="1">
        <v>1</v>
      </c>
      <c r="U121" s="1">
        <f>T121+S121</f>
        <v>1</v>
      </c>
      <c r="V121" s="1">
        <v>0</v>
      </c>
      <c r="X121" s="1">
        <v>1</v>
      </c>
      <c r="Y121" s="1">
        <v>1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</row>
    <row r="122" spans="1:30">
      <c r="A122" s="1" t="s">
        <v>245</v>
      </c>
      <c r="B122" s="1" t="s">
        <v>246</v>
      </c>
      <c r="C122" s="1">
        <f>(AD122+AC122)*R122</f>
        <v>0</v>
      </c>
      <c r="K122" s="1">
        <f>IF(F122*(H122+J122)*(G122+I122+J122)&gt;0,1,0)</f>
        <v>0</v>
      </c>
      <c r="L122" s="1">
        <f>SUM(M122:Q122)</f>
        <v>0</v>
      </c>
      <c r="M122" s="1">
        <v>0</v>
      </c>
      <c r="N122" s="1">
        <v>0</v>
      </c>
      <c r="O122" s="1">
        <v>0</v>
      </c>
      <c r="R122" s="1">
        <f>IF(L122&gt;=3, 1, 0)</f>
        <v>0</v>
      </c>
      <c r="S122" s="1">
        <v>0</v>
      </c>
      <c r="T122" s="1">
        <v>0</v>
      </c>
      <c r="U122" s="1">
        <f>T122+S122</f>
        <v>0</v>
      </c>
      <c r="V122" s="1">
        <v>1</v>
      </c>
      <c r="X122" s="1">
        <v>1</v>
      </c>
      <c r="Y122" s="1">
        <v>1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</row>
    <row r="123" spans="1:30">
      <c r="A123" s="1" t="s">
        <v>267</v>
      </c>
      <c r="B123" s="1" t="s">
        <v>268</v>
      </c>
      <c r="C123" s="1">
        <f>(AD123+AC123)*R123</f>
        <v>0</v>
      </c>
      <c r="K123" s="1">
        <f>IF(F123*(H123+J123)*(G123+I123+J123)&gt;0,1,0)</f>
        <v>0</v>
      </c>
      <c r="L123" s="1">
        <f>SUM(M123:Q123)</f>
        <v>1</v>
      </c>
      <c r="M123" s="1">
        <v>1</v>
      </c>
      <c r="N123" s="1">
        <v>0</v>
      </c>
      <c r="O123" s="1">
        <v>0</v>
      </c>
      <c r="R123" s="1">
        <f>IF(L123&gt;=3, 1, 0)</f>
        <v>0</v>
      </c>
      <c r="S123" s="1">
        <v>1</v>
      </c>
      <c r="T123" s="1">
        <v>0</v>
      </c>
      <c r="U123" s="1">
        <f>T123+S123</f>
        <v>1</v>
      </c>
      <c r="V123" s="1">
        <v>0</v>
      </c>
      <c r="X123" s="1">
        <v>1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</row>
    <row r="124" spans="1:30">
      <c r="A124" s="1" t="s">
        <v>243</v>
      </c>
      <c r="B124" s="1" t="s">
        <v>244</v>
      </c>
      <c r="C124" s="1">
        <f>(AD124+AC124)*R124</f>
        <v>0</v>
      </c>
      <c r="K124" s="1">
        <f>IF(F124*(H124+J124)*(G124+I124+J124)&gt;0,1,0)</f>
        <v>0</v>
      </c>
      <c r="L124" s="1">
        <f>SUM(M124:Q124)</f>
        <v>0</v>
      </c>
      <c r="M124" s="1">
        <v>0</v>
      </c>
      <c r="N124" s="1">
        <v>0</v>
      </c>
      <c r="O124" s="1">
        <v>0</v>
      </c>
      <c r="R124" s="1">
        <f>IF(L124&gt;=3, 1, 0)</f>
        <v>0</v>
      </c>
      <c r="S124" s="1">
        <v>0</v>
      </c>
      <c r="T124" s="1">
        <v>0</v>
      </c>
      <c r="U124" s="1">
        <f>T124+S124</f>
        <v>0</v>
      </c>
      <c r="V124" s="1">
        <v>1</v>
      </c>
      <c r="X124" s="1">
        <v>1</v>
      </c>
      <c r="Y124" s="1">
        <v>1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</row>
    <row r="125" spans="1:30">
      <c r="A125" s="1" t="s">
        <v>299</v>
      </c>
      <c r="B125" s="1" t="s">
        <v>300</v>
      </c>
      <c r="C125" s="1">
        <f>(AD125+AC125)*R125</f>
        <v>0</v>
      </c>
      <c r="K125" s="1">
        <f>IF(F125*(H125+J125)*(G125+I125+J125)&gt;0,1,0)</f>
        <v>0</v>
      </c>
      <c r="L125" s="1">
        <f>SUM(M125:Q125)</f>
        <v>3</v>
      </c>
      <c r="M125" s="1">
        <v>0</v>
      </c>
      <c r="N125" s="1">
        <v>0</v>
      </c>
      <c r="O125" s="1">
        <v>1</v>
      </c>
      <c r="Q125" s="1">
        <v>2</v>
      </c>
      <c r="R125" s="1">
        <f>IF(L125&gt;=3, 1, 0)</f>
        <v>1</v>
      </c>
      <c r="S125" s="1">
        <v>1</v>
      </c>
      <c r="T125" s="1">
        <v>0</v>
      </c>
      <c r="U125" s="1">
        <f>T125+S125</f>
        <v>1</v>
      </c>
      <c r="V125" s="1">
        <v>0</v>
      </c>
      <c r="X125" s="1">
        <v>1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</row>
    <row r="126" spans="1:30">
      <c r="A126" s="1" t="s">
        <v>283</v>
      </c>
      <c r="B126" s="1" t="s">
        <v>284</v>
      </c>
      <c r="C126" s="1">
        <f>(AD126+AC126)*R126</f>
        <v>0</v>
      </c>
      <c r="K126" s="1">
        <f>IF(F126*(H126+J126)*(G126+I126+J126)&gt;0,1,0)</f>
        <v>0</v>
      </c>
      <c r="L126" s="1">
        <f>SUM(M126:Q126)</f>
        <v>0</v>
      </c>
      <c r="M126" s="1">
        <v>0</v>
      </c>
      <c r="N126" s="1">
        <v>0</v>
      </c>
      <c r="O126" s="1">
        <v>0</v>
      </c>
      <c r="R126" s="1">
        <f>IF(L126&gt;=3, 1, 0)</f>
        <v>0</v>
      </c>
      <c r="S126" s="1">
        <v>1</v>
      </c>
      <c r="T126" s="1">
        <v>0</v>
      </c>
      <c r="U126" s="1">
        <f>T126+S126</f>
        <v>1</v>
      </c>
      <c r="V126" s="1">
        <v>0</v>
      </c>
      <c r="X126" s="1">
        <v>1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</row>
    <row r="127" spans="1:30">
      <c r="A127" s="1" t="s">
        <v>223</v>
      </c>
      <c r="B127" s="1" t="s">
        <v>224</v>
      </c>
      <c r="C127" s="1">
        <f>(AD127+AC127)*R127</f>
        <v>0</v>
      </c>
      <c r="K127" s="1">
        <f>IF(F127*(H127+J127)*(G127+I127+J127)&gt;0,1,0)</f>
        <v>0</v>
      </c>
      <c r="L127" s="1">
        <f>SUM(M127:Q127)</f>
        <v>1</v>
      </c>
      <c r="M127" s="1">
        <v>0</v>
      </c>
      <c r="N127" s="1">
        <v>1</v>
      </c>
      <c r="O127" s="1">
        <v>0</v>
      </c>
      <c r="R127" s="1">
        <f>IF(L127&gt;=3, 1, 0)</f>
        <v>0</v>
      </c>
      <c r="S127" s="1">
        <v>0</v>
      </c>
      <c r="T127" s="1">
        <v>1</v>
      </c>
      <c r="U127" s="1">
        <f>T127+S127</f>
        <v>1</v>
      </c>
      <c r="V127" s="1">
        <v>0</v>
      </c>
      <c r="X127" s="1">
        <v>1</v>
      </c>
      <c r="Y127" s="1">
        <v>1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</row>
    <row r="128" spans="1:30">
      <c r="A128" s="1" t="s">
        <v>231</v>
      </c>
      <c r="B128" s="1" t="s">
        <v>232</v>
      </c>
      <c r="C128" s="1">
        <f>(AD128+AC128)*R128</f>
        <v>0</v>
      </c>
      <c r="K128" s="1">
        <f>IF(F128*(H128+J128)*(G128+I128+J128)&gt;0,1,0)</f>
        <v>0</v>
      </c>
      <c r="L128" s="1">
        <f>SUM(M128:Q128)</f>
        <v>3</v>
      </c>
      <c r="M128" s="1">
        <v>1</v>
      </c>
      <c r="N128" s="1">
        <v>0</v>
      </c>
      <c r="O128" s="1">
        <v>0</v>
      </c>
      <c r="Q128" s="1">
        <v>2</v>
      </c>
      <c r="R128" s="1">
        <f>IF(L128&gt;=3, 1, 0)</f>
        <v>1</v>
      </c>
      <c r="S128" s="1">
        <v>0</v>
      </c>
      <c r="T128" s="1">
        <v>1</v>
      </c>
      <c r="U128" s="1">
        <f>T128+S128</f>
        <v>1</v>
      </c>
      <c r="V128" s="1">
        <v>0</v>
      </c>
      <c r="X128" s="1">
        <v>1</v>
      </c>
      <c r="Y128" s="1">
        <v>1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</row>
    <row r="129" spans="1:30">
      <c r="A129" s="1" t="s">
        <v>251</v>
      </c>
      <c r="B129" s="1" t="s">
        <v>252</v>
      </c>
      <c r="C129" s="1">
        <f>(AD129+AC129)*R129</f>
        <v>0</v>
      </c>
      <c r="K129" s="1">
        <f>IF(F129*(H129+J129)*(G129+I129+J129)&gt;0,1,0)</f>
        <v>0</v>
      </c>
      <c r="L129" s="1">
        <f>SUM(M129:Q129)</f>
        <v>2</v>
      </c>
      <c r="M129" s="1">
        <v>1</v>
      </c>
      <c r="N129" s="1">
        <v>0</v>
      </c>
      <c r="O129" s="1">
        <v>1</v>
      </c>
      <c r="R129" s="1">
        <f>IF(L129&gt;=3, 1, 0)</f>
        <v>0</v>
      </c>
      <c r="S129" s="1">
        <v>0</v>
      </c>
      <c r="T129" s="1">
        <v>0</v>
      </c>
      <c r="U129" s="1">
        <f>T129+S129</f>
        <v>0</v>
      </c>
      <c r="V129" s="1">
        <v>0</v>
      </c>
      <c r="W129" s="1">
        <v>1</v>
      </c>
      <c r="X129" s="1">
        <v>1</v>
      </c>
      <c r="Y129" s="1">
        <v>1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</row>
    <row r="130" spans="1:30">
      <c r="A130" s="1" t="s">
        <v>241</v>
      </c>
      <c r="B130" s="1" t="s">
        <v>242</v>
      </c>
      <c r="C130" s="1">
        <f>(AD130+AC130)*R130</f>
        <v>0</v>
      </c>
      <c r="K130" s="1">
        <f>IF(F130*(H130+J130)*(G130+I130+J130)&gt;0,1,0)</f>
        <v>0</v>
      </c>
      <c r="L130" s="1">
        <f>SUM(M130:Q130)</f>
        <v>1</v>
      </c>
      <c r="M130" s="1">
        <v>0</v>
      </c>
      <c r="N130" s="1">
        <v>1</v>
      </c>
      <c r="O130" s="1">
        <v>0</v>
      </c>
      <c r="R130" s="1">
        <f>IF(L130&gt;=3, 1, 0)</f>
        <v>0</v>
      </c>
      <c r="S130" s="1">
        <v>0</v>
      </c>
      <c r="T130" s="1">
        <v>0</v>
      </c>
      <c r="U130" s="1">
        <f>T130+S130</f>
        <v>0</v>
      </c>
      <c r="V130" s="1">
        <v>1</v>
      </c>
      <c r="X130" s="1">
        <v>1</v>
      </c>
      <c r="Y130" s="1">
        <v>1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</row>
    <row r="131" spans="1:30">
      <c r="A131" s="1" t="s">
        <v>239</v>
      </c>
      <c r="B131" s="1" t="s">
        <v>240</v>
      </c>
      <c r="C131" s="1">
        <f>(AD131+AC131)*R131</f>
        <v>0</v>
      </c>
      <c r="K131" s="1">
        <f>IF(F131*(H131+J131)*(G131+I131+J131)&gt;0,1,0)</f>
        <v>0</v>
      </c>
      <c r="L131" s="1">
        <f>SUM(M131:Q131)</f>
        <v>4</v>
      </c>
      <c r="M131" s="1">
        <v>0</v>
      </c>
      <c r="N131" s="1">
        <v>0</v>
      </c>
      <c r="O131" s="1">
        <v>1</v>
      </c>
      <c r="P131" s="1">
        <v>1</v>
      </c>
      <c r="Q131" s="1">
        <v>2</v>
      </c>
      <c r="R131" s="1">
        <f>IF(L131&gt;=3, 1, 0)</f>
        <v>1</v>
      </c>
      <c r="S131" s="1">
        <v>0</v>
      </c>
      <c r="T131" s="1">
        <v>0</v>
      </c>
      <c r="U131" s="1">
        <f>T131+S131</f>
        <v>0</v>
      </c>
      <c r="V131" s="1">
        <v>1</v>
      </c>
      <c r="X131" s="1">
        <v>1</v>
      </c>
      <c r="Y131" s="1">
        <v>1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</row>
    <row r="132" spans="1:30">
      <c r="A132" s="1" t="s">
        <v>276</v>
      </c>
      <c r="B132" s="1" t="s">
        <v>277</v>
      </c>
      <c r="C132" s="1">
        <f>(AD132+AC132)*R132</f>
        <v>0</v>
      </c>
      <c r="K132" s="1">
        <f>IF(F132*(H132+J132)*(G132+I132+J132)&gt;0,1,0)</f>
        <v>0</v>
      </c>
      <c r="L132" s="1">
        <f>SUM(M132:Q132)</f>
        <v>2</v>
      </c>
      <c r="M132" s="1">
        <v>0</v>
      </c>
      <c r="N132" s="1">
        <v>1</v>
      </c>
      <c r="O132" s="1">
        <v>1</v>
      </c>
      <c r="R132" s="1">
        <f>IF(L132&gt;=3, 1, 0)</f>
        <v>0</v>
      </c>
      <c r="S132" s="1">
        <v>1</v>
      </c>
      <c r="T132" s="1">
        <v>0</v>
      </c>
      <c r="U132" s="1">
        <f>T132+S132</f>
        <v>1</v>
      </c>
      <c r="V132" s="1">
        <v>0</v>
      </c>
      <c r="X132" s="1">
        <v>1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</row>
    <row r="133" spans="1:30">
      <c r="A133" s="1" t="s">
        <v>237</v>
      </c>
      <c r="B133" s="1" t="s">
        <v>238</v>
      </c>
      <c r="C133" s="1">
        <f>(AD133+AC133)*R133</f>
        <v>0</v>
      </c>
      <c r="K133" s="1">
        <f>IF(F133*(H133+J133)*(G133+I133+J133)&gt;0,1,0)</f>
        <v>0</v>
      </c>
      <c r="L133" s="1">
        <f>SUM(M133:Q133)</f>
        <v>0</v>
      </c>
      <c r="M133" s="1">
        <v>0</v>
      </c>
      <c r="N133" s="1">
        <v>0</v>
      </c>
      <c r="O133" s="1">
        <v>0</v>
      </c>
      <c r="R133" s="1">
        <f>IF(L133&gt;=3, 1, 0)</f>
        <v>0</v>
      </c>
      <c r="S133" s="1">
        <v>0</v>
      </c>
      <c r="T133" s="1">
        <v>0</v>
      </c>
      <c r="U133" s="1">
        <f>T133+S133</f>
        <v>0</v>
      </c>
      <c r="V133" s="1">
        <v>1</v>
      </c>
      <c r="X133" s="1">
        <v>1</v>
      </c>
      <c r="Y133" s="1">
        <v>1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</row>
    <row r="134" spans="1:30">
      <c r="A134" s="1" t="s">
        <v>287</v>
      </c>
      <c r="B134" s="1" t="s">
        <v>288</v>
      </c>
      <c r="C134" s="1">
        <f>(AD134+AC134)*R134</f>
        <v>0</v>
      </c>
      <c r="K134" s="1">
        <f>IF(F134*(H134+J134)*(G134+I134+J134)&gt;0,1,0)</f>
        <v>0</v>
      </c>
      <c r="L134" s="1">
        <f>SUM(M134:Q134)</f>
        <v>0</v>
      </c>
      <c r="M134" s="1">
        <v>0</v>
      </c>
      <c r="N134" s="1">
        <v>0</v>
      </c>
      <c r="O134" s="1">
        <v>0</v>
      </c>
      <c r="R134" s="1">
        <f>IF(L134&gt;=3, 1, 0)</f>
        <v>0</v>
      </c>
      <c r="S134" s="1">
        <v>1</v>
      </c>
      <c r="T134" s="1">
        <v>0</v>
      </c>
      <c r="U134" s="1">
        <f>T134+S134</f>
        <v>1</v>
      </c>
      <c r="V134" s="1">
        <v>0</v>
      </c>
      <c r="X134" s="1">
        <v>1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</row>
    <row r="135" spans="1:30">
      <c r="A135" s="1" t="s">
        <v>293</v>
      </c>
      <c r="B135" s="1" t="s">
        <v>294</v>
      </c>
      <c r="C135" s="1">
        <f>(AD135+AC135)*R135</f>
        <v>0</v>
      </c>
      <c r="K135" s="1">
        <f>IF(F135*(H135+J135)*(G135+I135+J135)&gt;0,1,0)</f>
        <v>0</v>
      </c>
      <c r="L135" s="1">
        <f>SUM(M135:Q135)</f>
        <v>0</v>
      </c>
      <c r="M135" s="1">
        <v>0</v>
      </c>
      <c r="N135" s="1">
        <v>0</v>
      </c>
      <c r="O135" s="1">
        <v>0</v>
      </c>
      <c r="R135" s="1">
        <f>IF(L135&gt;=3, 1, 0)</f>
        <v>0</v>
      </c>
      <c r="S135" s="1">
        <v>1</v>
      </c>
      <c r="T135" s="1">
        <v>0</v>
      </c>
      <c r="U135" s="1">
        <f>T135+S135</f>
        <v>1</v>
      </c>
      <c r="V135" s="1">
        <v>0</v>
      </c>
      <c r="X135" s="1">
        <v>1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</row>
    <row r="136" spans="1:30">
      <c r="A136" s="1" t="s">
        <v>215</v>
      </c>
      <c r="B136" s="1" t="s">
        <v>216</v>
      </c>
      <c r="C136" s="1">
        <f>(AD136+AC136)*R136</f>
        <v>0</v>
      </c>
      <c r="K136" s="1">
        <f>IF(F136*(H136+J136)*(G136+I136+J136)&gt;0,1,0)</f>
        <v>0</v>
      </c>
      <c r="L136" s="1">
        <f>SUM(M136:Q136)</f>
        <v>0</v>
      </c>
      <c r="M136" s="1">
        <v>0</v>
      </c>
      <c r="N136" s="1">
        <v>0</v>
      </c>
      <c r="O136" s="1">
        <v>0</v>
      </c>
      <c r="R136" s="1">
        <f>IF(L136&gt;=3, 1, 0)</f>
        <v>0</v>
      </c>
      <c r="S136" s="1">
        <v>0</v>
      </c>
      <c r="T136" s="1">
        <v>1</v>
      </c>
      <c r="U136" s="1">
        <f>T136+S136</f>
        <v>1</v>
      </c>
      <c r="V136" s="1">
        <v>0</v>
      </c>
      <c r="X136" s="1">
        <v>1</v>
      </c>
      <c r="Y136" s="1">
        <v>1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</row>
    <row r="137" spans="1:30">
      <c r="A137" s="1" t="s">
        <v>278</v>
      </c>
      <c r="B137" s="1" t="s">
        <v>279</v>
      </c>
      <c r="C137" s="1">
        <f>(AD137+AC137)*R137</f>
        <v>0</v>
      </c>
      <c r="K137" s="1">
        <f>IF(F137*(H137+J137)*(G137+I137+J137)&gt;0,1,0)</f>
        <v>0</v>
      </c>
      <c r="L137" s="1">
        <f>SUM(M137:Q137)</f>
        <v>3</v>
      </c>
      <c r="M137" s="1">
        <v>1</v>
      </c>
      <c r="N137" s="1">
        <v>0</v>
      </c>
      <c r="O137" s="1">
        <v>0</v>
      </c>
      <c r="Q137" s="1">
        <v>2</v>
      </c>
      <c r="R137" s="1">
        <f>IF(L137&gt;=3, 1, 0)</f>
        <v>1</v>
      </c>
      <c r="S137" s="1">
        <v>1</v>
      </c>
      <c r="T137" s="1">
        <v>0</v>
      </c>
      <c r="U137" s="1">
        <f>T137+S137</f>
        <v>1</v>
      </c>
      <c r="V137" s="1">
        <v>0</v>
      </c>
      <c r="X137" s="1">
        <v>1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</row>
    <row r="138" spans="1:30">
      <c r="A138" s="1" t="s">
        <v>303</v>
      </c>
      <c r="B138" s="1" t="s">
        <v>304</v>
      </c>
      <c r="C138" s="1">
        <f>(AD138+AC138)*R138</f>
        <v>0</v>
      </c>
      <c r="K138" s="1">
        <f>IF(F138*(H138+J138)*(G138+I138+J138)&gt;0,1,0)</f>
        <v>0</v>
      </c>
      <c r="L138" s="1">
        <f>SUM(M138:Q138)</f>
        <v>0</v>
      </c>
      <c r="M138" s="1">
        <v>0</v>
      </c>
      <c r="N138" s="1">
        <v>0</v>
      </c>
      <c r="O138" s="1">
        <v>0</v>
      </c>
      <c r="R138" s="1">
        <f>IF(L138&gt;=3, 1, 0)</f>
        <v>0</v>
      </c>
      <c r="S138" s="1">
        <v>1</v>
      </c>
      <c r="T138" s="1">
        <v>0</v>
      </c>
      <c r="U138" s="1">
        <f>T138+S138</f>
        <v>1</v>
      </c>
      <c r="V138" s="1">
        <v>0</v>
      </c>
      <c r="X138" s="1">
        <v>1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</row>
    <row r="139" spans="1:30">
      <c r="A139" s="1" t="s">
        <v>305</v>
      </c>
      <c r="B139" s="1" t="s">
        <v>306</v>
      </c>
      <c r="C139" s="1">
        <f>(AD139+AC139)*R139</f>
        <v>0</v>
      </c>
      <c r="K139" s="1">
        <f>IF(F139*(H139+J139)*(G139+I139+J139)&gt;0,1,0)</f>
        <v>0</v>
      </c>
      <c r="L139" s="1">
        <f>SUM(M139:Q139)</f>
        <v>0</v>
      </c>
      <c r="M139" s="1">
        <v>0</v>
      </c>
      <c r="N139" s="1">
        <v>0</v>
      </c>
      <c r="O139" s="1">
        <v>0</v>
      </c>
      <c r="R139" s="1">
        <f>IF(L139&gt;=3, 1, 0)</f>
        <v>0</v>
      </c>
      <c r="S139" s="1">
        <v>1</v>
      </c>
      <c r="T139" s="1">
        <v>0</v>
      </c>
      <c r="U139" s="1">
        <f>T139+S139</f>
        <v>1</v>
      </c>
      <c r="V139" s="1">
        <v>0</v>
      </c>
      <c r="X139" s="1">
        <v>1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</row>
    <row r="140" spans="1:30">
      <c r="A140" s="1" t="s">
        <v>233</v>
      </c>
      <c r="B140" s="1" t="s">
        <v>234</v>
      </c>
      <c r="C140" s="1">
        <f>(AD140+AC140)*R140</f>
        <v>0</v>
      </c>
      <c r="K140" s="1">
        <f>IF(F140*(H140+J140)*(G140+I140+J140)&gt;0,1,0)</f>
        <v>0</v>
      </c>
      <c r="L140" s="1">
        <f>SUM(M140:Q140)</f>
        <v>0</v>
      </c>
      <c r="M140" s="1">
        <v>0</v>
      </c>
      <c r="N140" s="1">
        <v>0</v>
      </c>
      <c r="O140" s="1">
        <v>0</v>
      </c>
      <c r="R140" s="1">
        <f>IF(L140&gt;=3, 1, 0)</f>
        <v>0</v>
      </c>
      <c r="S140" s="1">
        <v>0</v>
      </c>
      <c r="T140" s="1">
        <v>1</v>
      </c>
      <c r="U140" s="1">
        <f>T140+S140</f>
        <v>1</v>
      </c>
      <c r="V140" s="1">
        <v>0</v>
      </c>
      <c r="X140" s="1">
        <v>1</v>
      </c>
      <c r="Y140" s="1">
        <v>1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</row>
    <row r="141" spans="1:30">
      <c r="A141" s="1" t="s">
        <v>297</v>
      </c>
      <c r="B141" s="1" t="s">
        <v>298</v>
      </c>
      <c r="C141" s="1">
        <f>(AD141+AC141)*R141</f>
        <v>0</v>
      </c>
      <c r="K141" s="1">
        <f>IF(F141*(H141+J141)*(G141+I141+J141)&gt;0,1,0)</f>
        <v>0</v>
      </c>
      <c r="L141" s="1">
        <f>SUM(M141:Q141)</f>
        <v>0</v>
      </c>
      <c r="M141" s="1">
        <v>0</v>
      </c>
      <c r="N141" s="1">
        <v>0</v>
      </c>
      <c r="O141" s="1">
        <v>0</v>
      </c>
      <c r="R141" s="1">
        <f>IF(L141&gt;=3, 1, 0)</f>
        <v>0</v>
      </c>
      <c r="S141" s="1">
        <v>1</v>
      </c>
      <c r="T141" s="1">
        <v>0</v>
      </c>
      <c r="U141" s="1">
        <f>T141+S141</f>
        <v>1</v>
      </c>
      <c r="V141" s="1">
        <v>0</v>
      </c>
      <c r="X141" s="1">
        <v>1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</row>
    <row r="142" spans="1:30">
      <c r="A142" s="1" t="s">
        <v>217</v>
      </c>
      <c r="B142" s="1" t="s">
        <v>218</v>
      </c>
      <c r="C142" s="1">
        <f>(AD142+AC142)*R142</f>
        <v>0</v>
      </c>
      <c r="K142" s="1">
        <f>IF(F142*(H142+J142)*(G142+I142+J142)&gt;0,1,0)</f>
        <v>0</v>
      </c>
      <c r="L142" s="1">
        <f>SUM(M142:Q142)</f>
        <v>1</v>
      </c>
      <c r="M142" s="1">
        <v>1</v>
      </c>
      <c r="N142" s="1">
        <v>0</v>
      </c>
      <c r="O142" s="1">
        <v>0</v>
      </c>
      <c r="R142" s="1">
        <f>IF(L142&gt;=3, 1, 0)</f>
        <v>0</v>
      </c>
      <c r="S142" s="1">
        <v>0</v>
      </c>
      <c r="T142" s="1">
        <v>0</v>
      </c>
      <c r="U142" s="1">
        <f>T142+S142</f>
        <v>0</v>
      </c>
      <c r="V142" s="1">
        <v>1</v>
      </c>
      <c r="X142" s="1">
        <v>1</v>
      </c>
      <c r="Y142" s="1">
        <v>1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</row>
    <row r="143" spans="1:30">
      <c r="A143" s="1" t="s">
        <v>225</v>
      </c>
      <c r="B143" s="1" t="s">
        <v>226</v>
      </c>
      <c r="C143" s="1">
        <f>(AD143+AC143)*R143</f>
        <v>0</v>
      </c>
      <c r="K143" s="1">
        <f>IF(F143*(H143+J143)*(G143+I143+J143)&gt;0,1,0)</f>
        <v>0</v>
      </c>
      <c r="L143" s="1">
        <f>SUM(M143:Q143)</f>
        <v>0</v>
      </c>
      <c r="M143" s="1">
        <v>0</v>
      </c>
      <c r="N143" s="1">
        <v>0</v>
      </c>
      <c r="O143" s="1">
        <v>0</v>
      </c>
      <c r="R143" s="1">
        <f>IF(L143&gt;=3, 1, 0)</f>
        <v>0</v>
      </c>
      <c r="S143" s="1">
        <v>0</v>
      </c>
      <c r="T143" s="1">
        <v>1</v>
      </c>
      <c r="U143" s="1">
        <f>T143+S143</f>
        <v>1</v>
      </c>
      <c r="V143" s="1">
        <v>0</v>
      </c>
      <c r="X143" s="1">
        <v>1</v>
      </c>
      <c r="Y143" s="1">
        <v>1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</row>
    <row r="144" spans="1:30">
      <c r="A144" s="1" t="s">
        <v>270</v>
      </c>
      <c r="B144" s="1" t="s">
        <v>271</v>
      </c>
      <c r="C144" s="1">
        <f>(AD144+AC144)*R144</f>
        <v>0</v>
      </c>
      <c r="K144" s="1">
        <f>IF(F144*(H144+J144)*(G144+I144+J144)&gt;0,1,0)</f>
        <v>0</v>
      </c>
      <c r="L144" s="1">
        <f>SUM(M144:Q144)</f>
        <v>0</v>
      </c>
      <c r="M144" s="1">
        <v>0</v>
      </c>
      <c r="N144" s="1">
        <v>0</v>
      </c>
      <c r="O144" s="1">
        <v>0</v>
      </c>
      <c r="R144" s="1">
        <f>IF(L144&gt;=3, 1, 0)</f>
        <v>0</v>
      </c>
      <c r="S144" s="1">
        <v>1</v>
      </c>
      <c r="T144" s="1">
        <v>0</v>
      </c>
      <c r="U144" s="1">
        <f>T144+S144</f>
        <v>1</v>
      </c>
      <c r="V144" s="1">
        <v>0</v>
      </c>
      <c r="X144" s="1">
        <v>1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</row>
    <row r="145" spans="1:30">
      <c r="A145" s="1" t="s">
        <v>235</v>
      </c>
      <c r="B145" s="1" t="s">
        <v>236</v>
      </c>
      <c r="C145" s="1">
        <f>(AD145+AC145)*R145</f>
        <v>0</v>
      </c>
      <c r="K145" s="1">
        <f>IF(F145*(H145+J145)*(G145+I145+J145)&gt;0,1,0)</f>
        <v>0</v>
      </c>
      <c r="L145" s="1">
        <f>SUM(M145:Q145)</f>
        <v>0</v>
      </c>
      <c r="M145" s="1">
        <v>0</v>
      </c>
      <c r="N145" s="1">
        <v>0</v>
      </c>
      <c r="O145" s="1">
        <v>0</v>
      </c>
      <c r="R145" s="1">
        <f>IF(L145&gt;=3, 1, 0)</f>
        <v>0</v>
      </c>
      <c r="S145" s="1">
        <v>0</v>
      </c>
      <c r="T145" s="1">
        <v>0</v>
      </c>
      <c r="U145" s="1">
        <f>T145+S145</f>
        <v>0</v>
      </c>
      <c r="V145" s="1">
        <v>1</v>
      </c>
      <c r="X145" s="1">
        <v>1</v>
      </c>
      <c r="Y145" s="1">
        <v>1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</row>
    <row r="146" spans="1:30">
      <c r="A146" s="1" t="s">
        <v>261</v>
      </c>
      <c r="B146" s="1" t="s">
        <v>262</v>
      </c>
      <c r="C146" s="1">
        <f>(AD146+AC146)*R146</f>
        <v>0</v>
      </c>
      <c r="K146" s="1">
        <f>IF(F146*(H146+J146)*(G146+I146+J146)&gt;0,1,0)</f>
        <v>0</v>
      </c>
      <c r="L146" s="1">
        <f>SUM(M146:Q146)</f>
        <v>0</v>
      </c>
      <c r="M146" s="1">
        <v>0</v>
      </c>
      <c r="N146" s="1">
        <v>0</v>
      </c>
      <c r="O146" s="1">
        <v>0</v>
      </c>
      <c r="R146" s="1">
        <f>IF(L146&gt;=3, 1, 0)</f>
        <v>0</v>
      </c>
      <c r="S146" s="1">
        <v>1</v>
      </c>
      <c r="T146" s="1">
        <v>0</v>
      </c>
      <c r="U146" s="1">
        <f>T146+S146</f>
        <v>1</v>
      </c>
      <c r="V146" s="1">
        <v>0</v>
      </c>
      <c r="X146" s="1">
        <v>1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</row>
    <row r="147" spans="1:30">
      <c r="A147" s="1" t="s">
        <v>285</v>
      </c>
      <c r="B147" s="1" t="s">
        <v>286</v>
      </c>
      <c r="C147" s="1">
        <f>(AD147+AC147)*R147</f>
        <v>0</v>
      </c>
      <c r="K147" s="1">
        <f>IF(F147*(H147+J147)*(G147+I147+J147)&gt;0,1,0)</f>
        <v>0</v>
      </c>
      <c r="L147" s="1">
        <f>SUM(M147:Q147)</f>
        <v>0</v>
      </c>
      <c r="M147" s="1">
        <v>0</v>
      </c>
      <c r="N147" s="1">
        <v>0</v>
      </c>
      <c r="O147" s="1">
        <v>0</v>
      </c>
      <c r="R147" s="1">
        <f>IF(L147&gt;=3, 1, 0)</f>
        <v>0</v>
      </c>
      <c r="S147" s="1">
        <v>1</v>
      </c>
      <c r="T147" s="1">
        <v>0</v>
      </c>
      <c r="U147" s="1">
        <f>T147+S147</f>
        <v>1</v>
      </c>
      <c r="V147" s="1">
        <v>0</v>
      </c>
      <c r="X147" s="1">
        <v>1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</row>
    <row r="148" spans="1:30">
      <c r="A148" s="1" t="s">
        <v>301</v>
      </c>
      <c r="B148" s="1" t="s">
        <v>302</v>
      </c>
      <c r="C148" s="1">
        <f>(AD148+AC148)*R148</f>
        <v>0</v>
      </c>
      <c r="K148" s="1">
        <f>IF(F148*(H148+J148)*(G148+I148+J148)&gt;0,1,0)</f>
        <v>0</v>
      </c>
      <c r="L148" s="1">
        <f>SUM(M148:Q148)</f>
        <v>0</v>
      </c>
      <c r="M148" s="1">
        <v>0</v>
      </c>
      <c r="N148" s="1">
        <v>0</v>
      </c>
      <c r="O148" s="1">
        <v>0</v>
      </c>
      <c r="R148" s="1">
        <f>IF(L148&gt;=3, 1, 0)</f>
        <v>0</v>
      </c>
      <c r="S148" s="1">
        <v>1</v>
      </c>
      <c r="T148" s="1">
        <v>0</v>
      </c>
      <c r="U148" s="1">
        <f>T148+S148</f>
        <v>1</v>
      </c>
      <c r="V148" s="1">
        <v>0</v>
      </c>
      <c r="X148" s="1">
        <v>1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</row>
    <row r="149" spans="1:30">
      <c r="A149" s="1" t="s">
        <v>289</v>
      </c>
      <c r="B149" s="1" t="s">
        <v>290</v>
      </c>
      <c r="C149" s="1">
        <f>(AD149+AC149)*R149</f>
        <v>0</v>
      </c>
      <c r="K149" s="1">
        <f>IF(F149*(H149+J149)*(G149+I149+J149)&gt;0,1,0)</f>
        <v>0</v>
      </c>
      <c r="L149" s="1">
        <f>SUM(M149:Q149)</f>
        <v>1</v>
      </c>
      <c r="M149" s="1">
        <v>1</v>
      </c>
      <c r="N149" s="1">
        <v>0</v>
      </c>
      <c r="O149" s="1">
        <v>0</v>
      </c>
      <c r="R149" s="1">
        <f>IF(L149&gt;=3, 1, 0)</f>
        <v>0</v>
      </c>
      <c r="S149" s="1">
        <v>1</v>
      </c>
      <c r="T149" s="1">
        <v>0</v>
      </c>
      <c r="U149" s="1">
        <f>T149+S149</f>
        <v>1</v>
      </c>
      <c r="V149" s="1">
        <v>0</v>
      </c>
      <c r="X149" s="1">
        <v>1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</row>
    <row r="150" spans="1:30">
      <c r="A150" s="1" t="s">
        <v>253</v>
      </c>
      <c r="B150" s="1" t="s">
        <v>254</v>
      </c>
      <c r="C150" s="1">
        <f>(AD150+AC150)*R150</f>
        <v>0</v>
      </c>
      <c r="K150" s="1">
        <f>IF(F150*(H150+J150)*(G150+I150+J150)&gt;0,1,0)</f>
        <v>0</v>
      </c>
      <c r="L150" s="1">
        <f>SUM(M150:Q150)</f>
        <v>5</v>
      </c>
      <c r="M150" s="1">
        <v>1</v>
      </c>
      <c r="N150" s="1">
        <v>1</v>
      </c>
      <c r="O150" s="1">
        <v>1</v>
      </c>
      <c r="Q150" s="1">
        <v>2</v>
      </c>
      <c r="R150" s="1">
        <f>IF(L150&gt;=3, 1, 0)</f>
        <v>1</v>
      </c>
      <c r="S150" s="1">
        <v>0</v>
      </c>
      <c r="T150" s="1">
        <v>0</v>
      </c>
      <c r="U150" s="1">
        <f>T150+S150</f>
        <v>0</v>
      </c>
      <c r="V150" s="1">
        <v>1</v>
      </c>
      <c r="X150" s="1">
        <v>1</v>
      </c>
      <c r="Y150" s="1">
        <v>1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</row>
    <row r="151" spans="1:30">
      <c r="A151" s="1" t="s">
        <v>257</v>
      </c>
      <c r="B151" s="1" t="s">
        <v>258</v>
      </c>
      <c r="C151" s="1">
        <f>(AD151+AC151)*R151</f>
        <v>0</v>
      </c>
      <c r="E151" s="1">
        <v>1</v>
      </c>
      <c r="F151" s="1">
        <v>0</v>
      </c>
      <c r="G151" s="1">
        <v>0</v>
      </c>
      <c r="K151" s="1">
        <f>IF(F151*(H151+J151)*(G151+I151+J151)&gt;0,1,0)</f>
        <v>0</v>
      </c>
      <c r="L151" s="1">
        <f>SUM(M151:Q151)</f>
        <v>3</v>
      </c>
      <c r="M151" s="1">
        <v>0</v>
      </c>
      <c r="N151" s="1">
        <v>0</v>
      </c>
      <c r="O151" s="1">
        <v>1</v>
      </c>
      <c r="Q151" s="1">
        <v>2</v>
      </c>
      <c r="R151" s="1">
        <f>IF(L151&gt;=3, 1, 0)</f>
        <v>1</v>
      </c>
      <c r="S151" s="1">
        <v>1</v>
      </c>
      <c r="T151" s="1">
        <v>0</v>
      </c>
      <c r="U151" s="1">
        <f>T151+S151</f>
        <v>1</v>
      </c>
      <c r="V151" s="1">
        <v>0</v>
      </c>
      <c r="X151" s="1">
        <v>1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</row>
    <row r="152" spans="1:30">
      <c r="A152" s="1" t="s">
        <v>280</v>
      </c>
      <c r="B152" s="1" t="s">
        <v>281</v>
      </c>
      <c r="C152" s="1">
        <f>(AD152+AC152)*R152</f>
        <v>0</v>
      </c>
      <c r="K152" s="1">
        <f>IF(F152*(H152+J152)*(G152+I152+J152)&gt;0,1,0)</f>
        <v>0</v>
      </c>
      <c r="L152" s="1">
        <f>SUM(M152:Q152)</f>
        <v>0</v>
      </c>
      <c r="M152" s="1">
        <v>0</v>
      </c>
      <c r="N152" s="1">
        <v>0</v>
      </c>
      <c r="O152" s="1">
        <v>0</v>
      </c>
      <c r="R152" s="1">
        <f>IF(L152&gt;=3, 1, 0)</f>
        <v>0</v>
      </c>
      <c r="S152" s="1">
        <v>1</v>
      </c>
      <c r="T152" s="1">
        <v>0</v>
      </c>
      <c r="U152" s="1">
        <f>T152+S152</f>
        <v>1</v>
      </c>
      <c r="V152" s="1">
        <v>0</v>
      </c>
      <c r="X152" s="1">
        <v>1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</row>
    <row r="153" spans="1:30">
      <c r="A153" s="1">
        <v>2211110515</v>
      </c>
      <c r="B153" s="1" t="s">
        <v>282</v>
      </c>
      <c r="C153" s="1">
        <f>(AD153+AC153)*R153</f>
        <v>0</v>
      </c>
      <c r="K153" s="1">
        <f>IF(F153*(H153+J153)*(G153+I153+J153)&gt;0,1,0)</f>
        <v>0</v>
      </c>
      <c r="L153" s="1">
        <f>SUM(M153:Q153)</f>
        <v>0</v>
      </c>
      <c r="M153" s="1">
        <v>0</v>
      </c>
      <c r="N153" s="1">
        <v>0</v>
      </c>
      <c r="O153" s="1">
        <v>0</v>
      </c>
      <c r="R153" s="1">
        <f>IF(L153&gt;=3, 1, 0)</f>
        <v>0</v>
      </c>
      <c r="S153" s="1">
        <v>1</v>
      </c>
      <c r="T153" s="1">
        <v>0</v>
      </c>
      <c r="U153" s="1">
        <f>T153+S153</f>
        <v>1</v>
      </c>
      <c r="V153" s="1">
        <v>0</v>
      </c>
      <c r="X153" s="1">
        <v>1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</row>
    <row r="154" spans="1:30">
      <c r="A154" s="1" t="s">
        <v>263</v>
      </c>
      <c r="B154" s="1" t="s">
        <v>264</v>
      </c>
      <c r="C154" s="1">
        <f>(AD154+AC154)*R154</f>
        <v>0</v>
      </c>
      <c r="K154" s="1">
        <f>IF(F154*(H154+J154)*(G154+I154+J154)&gt;0,1,0)</f>
        <v>0</v>
      </c>
      <c r="L154" s="1">
        <f>SUM(M154:Q154)</f>
        <v>0</v>
      </c>
      <c r="M154" s="1">
        <v>0</v>
      </c>
      <c r="N154" s="1">
        <v>0</v>
      </c>
      <c r="O154" s="1">
        <v>0</v>
      </c>
      <c r="R154" s="1">
        <f>IF(L154&gt;=3, 1, 0)</f>
        <v>0</v>
      </c>
      <c r="S154" s="1">
        <v>1</v>
      </c>
      <c r="T154" s="1">
        <v>0</v>
      </c>
      <c r="U154" s="1">
        <f>T154+S154</f>
        <v>1</v>
      </c>
      <c r="V154" s="1">
        <v>0</v>
      </c>
      <c r="X154" s="1">
        <v>1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</row>
    <row r="155" spans="1:30">
      <c r="A155" s="1" t="s">
        <v>219</v>
      </c>
      <c r="B155" s="1" t="s">
        <v>220</v>
      </c>
      <c r="C155" s="1">
        <f>(AD155+AC155)*R155</f>
        <v>0</v>
      </c>
      <c r="K155" s="1">
        <f>IF(F155*(H155+J155)*(G155+I155+J155)&gt;0,1,0)</f>
        <v>0</v>
      </c>
      <c r="L155" s="1">
        <f>SUM(M155:Q155)</f>
        <v>4</v>
      </c>
      <c r="M155" s="1">
        <v>1</v>
      </c>
      <c r="N155" s="1">
        <v>0</v>
      </c>
      <c r="O155" s="1">
        <v>1</v>
      </c>
      <c r="Q155" s="1">
        <v>2</v>
      </c>
      <c r="R155" s="1">
        <f>IF(L155&gt;=3, 1, 0)</f>
        <v>1</v>
      </c>
      <c r="S155" s="1">
        <v>0</v>
      </c>
      <c r="T155" s="1">
        <v>1</v>
      </c>
      <c r="U155" s="1">
        <f>T155+S155</f>
        <v>1</v>
      </c>
      <c r="V155" s="1">
        <v>0</v>
      </c>
      <c r="X155" s="1">
        <v>1</v>
      </c>
      <c r="Y155" s="1">
        <v>1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</row>
    <row r="156" spans="1:30">
      <c r="A156" s="1" t="s">
        <v>255</v>
      </c>
      <c r="B156" s="1" t="s">
        <v>256</v>
      </c>
      <c r="C156" s="1">
        <f>(AD156+AC156)*R156</f>
        <v>0</v>
      </c>
      <c r="F156" s="1">
        <v>1</v>
      </c>
      <c r="G156" s="1">
        <v>0</v>
      </c>
      <c r="K156" s="1">
        <f>IF(F156*(H156+J156)*(G156+I156+J156)&gt;0,1,0)</f>
        <v>0</v>
      </c>
      <c r="L156" s="1">
        <f>SUM(M156:Q156)</f>
        <v>1</v>
      </c>
      <c r="M156" s="1">
        <v>0</v>
      </c>
      <c r="N156" s="1">
        <v>1</v>
      </c>
      <c r="O156" s="1">
        <v>0</v>
      </c>
      <c r="R156" s="1">
        <f>IF(L156&gt;=3, 1, 0)</f>
        <v>0</v>
      </c>
      <c r="S156" s="1">
        <v>1</v>
      </c>
      <c r="T156" s="1">
        <v>0</v>
      </c>
      <c r="U156" s="1">
        <f>T156+S156</f>
        <v>1</v>
      </c>
      <c r="V156" s="1">
        <v>0</v>
      </c>
      <c r="X156" s="1">
        <v>1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</row>
    <row r="157" spans="1:30">
      <c r="A157" s="1" t="s">
        <v>295</v>
      </c>
      <c r="B157" s="1" t="s">
        <v>296</v>
      </c>
      <c r="C157" s="1">
        <f>(AD157+AC157)*R157</f>
        <v>0</v>
      </c>
      <c r="K157" s="1">
        <f>IF(F157*(H157+J157)*(G157+I157+J157)&gt;0,1,0)</f>
        <v>0</v>
      </c>
      <c r="L157" s="1">
        <f>SUM(M157:Q157)</f>
        <v>3</v>
      </c>
      <c r="M157" s="1">
        <v>0</v>
      </c>
      <c r="N157" s="1">
        <v>1</v>
      </c>
      <c r="O157" s="1">
        <v>0</v>
      </c>
      <c r="Q157" s="1">
        <v>2</v>
      </c>
      <c r="R157" s="1">
        <f>IF(L157&gt;=3, 1, 0)</f>
        <v>1</v>
      </c>
      <c r="S157" s="1">
        <v>1</v>
      </c>
      <c r="T157" s="1">
        <v>0</v>
      </c>
      <c r="U157" s="1">
        <f>T157+S157</f>
        <v>1</v>
      </c>
      <c r="V157" s="1">
        <v>0</v>
      </c>
      <c r="X157" s="1">
        <v>1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</row>
    <row r="158" spans="1:30">
      <c r="A158" s="1" t="s">
        <v>291</v>
      </c>
      <c r="B158" s="1" t="s">
        <v>292</v>
      </c>
      <c r="C158" s="1">
        <f>(AD158+AC158)*R158</f>
        <v>0</v>
      </c>
      <c r="K158" s="1">
        <f>IF(F158*(H158+J158)*(G158+I158+J158)&gt;0,1,0)</f>
        <v>0</v>
      </c>
      <c r="L158" s="1">
        <f>SUM(M158:Q158)</f>
        <v>2</v>
      </c>
      <c r="M158" s="1">
        <v>1</v>
      </c>
      <c r="N158" s="1">
        <v>1</v>
      </c>
      <c r="O158" s="1">
        <v>0</v>
      </c>
      <c r="R158" s="1">
        <f>IF(L158&gt;=3, 1, 0)</f>
        <v>0</v>
      </c>
      <c r="S158" s="1">
        <v>1</v>
      </c>
      <c r="T158" s="1">
        <v>0</v>
      </c>
      <c r="U158" s="1">
        <f>T158+S158</f>
        <v>1</v>
      </c>
      <c r="V158" s="1">
        <v>0</v>
      </c>
      <c r="X158" s="1">
        <v>1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</row>
    <row r="159" spans="1:30">
      <c r="A159" s="1" t="s">
        <v>265</v>
      </c>
      <c r="B159" s="1" t="s">
        <v>266</v>
      </c>
      <c r="C159" s="1">
        <f>(AD159+AC159)*R159</f>
        <v>0</v>
      </c>
      <c r="K159" s="1">
        <f>IF(F159*(H159+J159)*(G159+I159+J159)&gt;0,1,0)</f>
        <v>0</v>
      </c>
      <c r="L159" s="1">
        <f>SUM(M159:Q159)</f>
        <v>0</v>
      </c>
      <c r="M159" s="1">
        <v>0</v>
      </c>
      <c r="N159" s="1">
        <v>0</v>
      </c>
      <c r="O159" s="1">
        <v>0</v>
      </c>
      <c r="R159" s="1">
        <f>IF(L159&gt;=3, 1, 0)</f>
        <v>0</v>
      </c>
      <c r="S159" s="1">
        <v>1</v>
      </c>
      <c r="T159" s="1">
        <v>0</v>
      </c>
      <c r="U159" s="1">
        <f>T159+S159</f>
        <v>1</v>
      </c>
      <c r="V159" s="1">
        <v>0</v>
      </c>
      <c r="X159" s="1">
        <v>1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</row>
    <row r="160" spans="1:30">
      <c r="A160" s="1" t="s">
        <v>307</v>
      </c>
      <c r="B160" s="1" t="s">
        <v>308</v>
      </c>
      <c r="C160" s="1">
        <f>(AD160+AC160)*R160</f>
        <v>0</v>
      </c>
      <c r="K160" s="1">
        <f>IF(F160*(H160+J160)*(G160+I160+J160)&gt;0,1,0)</f>
        <v>0</v>
      </c>
      <c r="L160" s="1">
        <f>SUM(M160:Q160)</f>
        <v>2</v>
      </c>
      <c r="M160" s="1">
        <v>1</v>
      </c>
      <c r="N160" s="1">
        <v>0</v>
      </c>
      <c r="O160" s="1">
        <v>1</v>
      </c>
      <c r="R160" s="1">
        <f>IF(L160&gt;=3, 1, 0)</f>
        <v>0</v>
      </c>
      <c r="S160" s="1">
        <v>0</v>
      </c>
      <c r="T160" s="1">
        <v>0</v>
      </c>
      <c r="U160" s="1">
        <f>T160+S160</f>
        <v>0</v>
      </c>
      <c r="V160" s="1">
        <v>0.5</v>
      </c>
      <c r="X160" s="1">
        <v>0.5</v>
      </c>
      <c r="Y160" s="1">
        <v>0.5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</row>
    <row r="161" spans="1:30">
      <c r="A161" s="1" t="s">
        <v>319</v>
      </c>
      <c r="B161" s="1" t="s">
        <v>320</v>
      </c>
      <c r="C161" s="1">
        <f>(AD161+AC161)*R161</f>
        <v>0</v>
      </c>
      <c r="K161" s="1">
        <f>IF(F161*(H161+J161)*(G161+I161+J161)&gt;0,1,0)</f>
        <v>0</v>
      </c>
      <c r="L161" s="1">
        <f>SUM(M161:Q161)</f>
        <v>0</v>
      </c>
      <c r="M161" s="1">
        <v>0</v>
      </c>
      <c r="N161" s="1">
        <v>0</v>
      </c>
      <c r="O161" s="1">
        <v>0</v>
      </c>
      <c r="R161" s="1">
        <f>IF(L161&gt;=3, 1, 0)</f>
        <v>0</v>
      </c>
      <c r="S161" s="1">
        <v>0</v>
      </c>
      <c r="T161" s="1">
        <v>0</v>
      </c>
      <c r="U161" s="1">
        <f>T161+S161</f>
        <v>0</v>
      </c>
      <c r="V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</row>
    <row r="162" spans="1:30">
      <c r="A162" s="1" t="s">
        <v>338</v>
      </c>
      <c r="B162" s="1" t="s">
        <v>339</v>
      </c>
      <c r="C162" s="1">
        <f>(AD162+AC162)*R162</f>
        <v>0</v>
      </c>
      <c r="K162" s="1">
        <f>IF(F162*(H162+J162)*(G162+I162+J162)&gt;0,1,0)</f>
        <v>0</v>
      </c>
      <c r="L162" s="1">
        <f>SUM(M162:Q162)</f>
        <v>1</v>
      </c>
      <c r="M162" s="1">
        <v>1</v>
      </c>
      <c r="N162" s="1">
        <v>0</v>
      </c>
      <c r="O162" s="1">
        <v>0</v>
      </c>
      <c r="R162" s="1">
        <f>IF(L162&gt;=3, 1, 0)</f>
        <v>0</v>
      </c>
      <c r="S162" s="1">
        <v>0</v>
      </c>
      <c r="T162" s="1">
        <v>0</v>
      </c>
      <c r="U162" s="1">
        <f>T162+S162</f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</row>
    <row r="163" spans="1:30">
      <c r="A163" s="1" t="s">
        <v>311</v>
      </c>
      <c r="B163" s="1" t="s">
        <v>312</v>
      </c>
      <c r="C163" s="1">
        <f>(AD163+AC163)*R163</f>
        <v>0</v>
      </c>
      <c r="K163" s="1">
        <f>IF(F163*(H163+J163)*(G163+I163+J163)&gt;0,1,0)</f>
        <v>0</v>
      </c>
      <c r="L163" s="1">
        <f>SUM(M163:Q163)</f>
        <v>1</v>
      </c>
      <c r="M163" s="1">
        <v>1</v>
      </c>
      <c r="N163" s="1">
        <v>0</v>
      </c>
      <c r="O163" s="1">
        <v>0</v>
      </c>
      <c r="R163" s="1">
        <f>IF(L163&gt;=3, 1, 0)</f>
        <v>0</v>
      </c>
      <c r="S163" s="1">
        <v>0</v>
      </c>
      <c r="T163" s="1">
        <v>0</v>
      </c>
      <c r="U163" s="1">
        <f>T163+S163</f>
        <v>0</v>
      </c>
      <c r="V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</row>
    <row r="164" spans="1:30">
      <c r="A164" s="1" t="s">
        <v>467</v>
      </c>
      <c r="B164" s="1" t="s">
        <v>468</v>
      </c>
      <c r="C164" s="1">
        <f>(AD164+AC164)*R164</f>
        <v>0</v>
      </c>
      <c r="K164" s="1">
        <f>IF(F164*(H164+J164)*(G164+I164+J164)&gt;0,1,0)</f>
        <v>0</v>
      </c>
      <c r="L164" s="1">
        <f>SUM(M164:Q164)</f>
        <v>1</v>
      </c>
      <c r="M164" s="1">
        <v>0</v>
      </c>
      <c r="N164" s="1">
        <v>0</v>
      </c>
      <c r="O164" s="1">
        <v>1</v>
      </c>
      <c r="R164" s="1">
        <f>IF(L164&gt;=3, 1, 0)</f>
        <v>0</v>
      </c>
      <c r="S164" s="1">
        <v>0</v>
      </c>
      <c r="T164" s="1">
        <v>0</v>
      </c>
      <c r="U164" s="1">
        <f>T164+S164</f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</row>
    <row r="165" spans="1:30">
      <c r="A165" s="1" t="s">
        <v>429</v>
      </c>
      <c r="B165" s="1" t="s">
        <v>430</v>
      </c>
      <c r="C165" s="1">
        <f>(AD165+AC165)*R165</f>
        <v>0</v>
      </c>
      <c r="K165" s="1">
        <f>IF(F165*(H165+J165)*(G165+I165+J165)&gt;0,1,0)</f>
        <v>0</v>
      </c>
      <c r="L165" s="1">
        <f>SUM(M165:Q165)</f>
        <v>4</v>
      </c>
      <c r="M165" s="1">
        <v>0</v>
      </c>
      <c r="N165" s="1">
        <v>0</v>
      </c>
      <c r="O165" s="1">
        <v>1</v>
      </c>
      <c r="P165" s="1">
        <v>1</v>
      </c>
      <c r="Q165" s="1">
        <v>2</v>
      </c>
      <c r="R165" s="1">
        <f>IF(L165&gt;=3, 1, 0)</f>
        <v>1</v>
      </c>
      <c r="S165" s="1">
        <v>0</v>
      </c>
      <c r="T165" s="1">
        <v>0</v>
      </c>
      <c r="U165" s="1">
        <f>T165+S165</f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</row>
    <row r="166" spans="1:30">
      <c r="A166" s="1" t="s">
        <v>340</v>
      </c>
      <c r="B166" s="1" t="s">
        <v>341</v>
      </c>
      <c r="C166" s="1">
        <f>(AD166+AC166)*R166</f>
        <v>0</v>
      </c>
      <c r="K166" s="1">
        <f>IF(F166*(H166+J166)*(G166+I166+J166)&gt;0,1,0)</f>
        <v>0</v>
      </c>
      <c r="L166" s="1">
        <f>SUM(M166:Q166)</f>
        <v>2</v>
      </c>
      <c r="M166" s="1">
        <v>1</v>
      </c>
      <c r="N166" s="1">
        <v>0</v>
      </c>
      <c r="O166" s="1">
        <v>1</v>
      </c>
      <c r="R166" s="1">
        <f>IF(L166&gt;=3, 1, 0)</f>
        <v>0</v>
      </c>
      <c r="S166" s="1">
        <v>0</v>
      </c>
      <c r="T166" s="1">
        <v>0</v>
      </c>
      <c r="U166" s="1">
        <f>T166+S166</f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</row>
    <row r="167" spans="1:30">
      <c r="A167" s="1" t="s">
        <v>344</v>
      </c>
      <c r="B167" s="1" t="s">
        <v>345</v>
      </c>
      <c r="C167" s="1">
        <f>(AD167+AC167)*R167</f>
        <v>0</v>
      </c>
      <c r="K167" s="1">
        <f>IF(F167*(H167+J167)*(G167+I167+J167)&gt;0,1,0)</f>
        <v>0</v>
      </c>
      <c r="L167" s="1">
        <f>SUM(M167:Q167)</f>
        <v>1</v>
      </c>
      <c r="M167" s="1">
        <v>1</v>
      </c>
      <c r="N167" s="1">
        <v>0</v>
      </c>
      <c r="O167" s="1">
        <v>0</v>
      </c>
      <c r="R167" s="1">
        <f>IF(L167&gt;=3, 1, 0)</f>
        <v>0</v>
      </c>
      <c r="S167" s="1">
        <v>0</v>
      </c>
      <c r="T167" s="1">
        <v>0</v>
      </c>
      <c r="U167" s="1">
        <f>T167+S167</f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</row>
    <row r="168" spans="1:30">
      <c r="A168" s="1" t="s">
        <v>348</v>
      </c>
      <c r="B168" s="1" t="s">
        <v>349</v>
      </c>
      <c r="C168" s="1">
        <f>(AD168+AC168)*R168</f>
        <v>0</v>
      </c>
      <c r="K168" s="1">
        <f>IF(F168*(H168+J168)*(G168+I168+J168)&gt;0,1,0)</f>
        <v>0</v>
      </c>
      <c r="L168" s="1">
        <f>SUM(M168:Q168)</f>
        <v>1</v>
      </c>
      <c r="M168" s="1">
        <v>1</v>
      </c>
      <c r="N168" s="1">
        <v>0</v>
      </c>
      <c r="O168" s="1">
        <v>0</v>
      </c>
      <c r="R168" s="1">
        <f>IF(L168&gt;=3, 1, 0)</f>
        <v>0</v>
      </c>
      <c r="S168" s="1">
        <v>0</v>
      </c>
      <c r="T168" s="1">
        <v>0</v>
      </c>
      <c r="U168" s="1">
        <f>T168+S168</f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</row>
    <row r="169" spans="1:30">
      <c r="A169" s="1" t="s">
        <v>342</v>
      </c>
      <c r="B169" s="1" t="s">
        <v>343</v>
      </c>
      <c r="C169" s="1">
        <f>(AD169+AC169)*R169</f>
        <v>0</v>
      </c>
      <c r="K169" s="1">
        <f>IF(F169*(H169+J169)*(G169+I169+J169)&gt;0,1,0)</f>
        <v>0</v>
      </c>
      <c r="L169" s="1">
        <f>SUM(M169:Q169)</f>
        <v>1</v>
      </c>
      <c r="M169" s="1">
        <v>0</v>
      </c>
      <c r="N169" s="1">
        <v>1</v>
      </c>
      <c r="O169" s="1">
        <v>0</v>
      </c>
      <c r="R169" s="1">
        <f>IF(L169&gt;=3, 1, 0)</f>
        <v>0</v>
      </c>
      <c r="S169" s="1">
        <v>0</v>
      </c>
      <c r="T169" s="1">
        <v>0</v>
      </c>
      <c r="U169" s="1">
        <f>T169+S169</f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</row>
    <row r="170" spans="1:30">
      <c r="A170" s="1" t="s">
        <v>459</v>
      </c>
      <c r="B170" s="1" t="s">
        <v>460</v>
      </c>
      <c r="C170" s="1">
        <f>(AD170+AC170)*R170</f>
        <v>0</v>
      </c>
      <c r="K170" s="1">
        <f>IF(F170*(H170+J170)*(G170+I170+J170)&gt;0,1,0)</f>
        <v>0</v>
      </c>
      <c r="L170" s="1">
        <f>SUM(M170:Q170)</f>
        <v>1</v>
      </c>
      <c r="M170" s="1">
        <v>0</v>
      </c>
      <c r="N170" s="1">
        <v>0</v>
      </c>
      <c r="O170" s="1">
        <v>1</v>
      </c>
      <c r="R170" s="1">
        <f>IF(L170&gt;=3, 1, 0)</f>
        <v>0</v>
      </c>
      <c r="S170" s="1">
        <v>0</v>
      </c>
      <c r="T170" s="1">
        <v>0</v>
      </c>
      <c r="U170" s="1">
        <f>T170+S170</f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</row>
    <row r="171" spans="1:30">
      <c r="A171" s="1" t="s">
        <v>346</v>
      </c>
      <c r="B171" s="1" t="s">
        <v>347</v>
      </c>
      <c r="C171" s="1">
        <f>(AD171+AC171)*R171</f>
        <v>0</v>
      </c>
      <c r="K171" s="1">
        <f>IF(F171*(H171+J171)*(G171+I171+J171)&gt;0,1,0)</f>
        <v>0</v>
      </c>
      <c r="L171" s="1">
        <f>SUM(M171:Q171)</f>
        <v>1</v>
      </c>
      <c r="M171" s="1">
        <v>0</v>
      </c>
      <c r="N171" s="1">
        <v>1</v>
      </c>
      <c r="O171" s="1">
        <v>0</v>
      </c>
      <c r="R171" s="1">
        <f>IF(L171&gt;=3, 1, 0)</f>
        <v>0</v>
      </c>
      <c r="S171" s="1">
        <v>0</v>
      </c>
      <c r="T171" s="1">
        <v>0</v>
      </c>
      <c r="U171" s="1">
        <f>T171+S171</f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</row>
    <row r="172" spans="1:30">
      <c r="A172" s="1" t="s">
        <v>350</v>
      </c>
      <c r="B172" s="1" t="s">
        <v>351</v>
      </c>
      <c r="C172" s="1">
        <f>(AD172+AC172)*R172</f>
        <v>0</v>
      </c>
      <c r="K172" s="1">
        <f>IF(F172*(H172+J172)*(G172+I172+J172)&gt;0,1,0)</f>
        <v>0</v>
      </c>
      <c r="L172" s="1">
        <f>SUM(M172:Q172)</f>
        <v>1</v>
      </c>
      <c r="M172" s="1">
        <v>0</v>
      </c>
      <c r="N172" s="1">
        <v>1</v>
      </c>
      <c r="O172" s="1">
        <v>0</v>
      </c>
      <c r="R172" s="1">
        <f>IF(L172&gt;=3, 1, 0)</f>
        <v>0</v>
      </c>
      <c r="S172" s="1">
        <v>0</v>
      </c>
      <c r="T172" s="1">
        <v>0</v>
      </c>
      <c r="U172" s="1">
        <f>T172+S172</f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</row>
    <row r="173" spans="1:30">
      <c r="A173" s="1" t="s">
        <v>352</v>
      </c>
      <c r="B173" s="1" t="s">
        <v>352</v>
      </c>
      <c r="C173" s="1">
        <f>(AD173+AC173)*R173</f>
        <v>0</v>
      </c>
      <c r="K173" s="1">
        <f>IF(F173*(H173+J173)*(G173+I173+J173)&gt;0,1,0)</f>
        <v>0</v>
      </c>
      <c r="L173" s="1">
        <f>SUM(M173:Q173)</f>
        <v>1</v>
      </c>
      <c r="M173" s="1">
        <v>1</v>
      </c>
      <c r="N173" s="1">
        <v>0</v>
      </c>
      <c r="O173" s="1">
        <v>0</v>
      </c>
      <c r="R173" s="1">
        <f>IF(L173&gt;=3, 1, 0)</f>
        <v>0</v>
      </c>
      <c r="S173" s="1">
        <v>0</v>
      </c>
      <c r="T173" s="1">
        <v>0</v>
      </c>
      <c r="U173" s="1">
        <f>T173+S173</f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</row>
    <row r="174" spans="1:30">
      <c r="A174" s="1" t="s">
        <v>329</v>
      </c>
      <c r="B174" s="1" t="s">
        <v>330</v>
      </c>
      <c r="C174" s="1">
        <f>(AD174+AC174)*R174</f>
        <v>0</v>
      </c>
      <c r="K174" s="1">
        <f>IF(F174*(H174+J174)*(G174+I174+J174)&gt;0,1,0)</f>
        <v>0</v>
      </c>
      <c r="L174" s="1">
        <f>SUM(M174:Q174)</f>
        <v>0</v>
      </c>
      <c r="M174" s="1">
        <v>0</v>
      </c>
      <c r="N174" s="1">
        <v>0</v>
      </c>
      <c r="O174" s="1">
        <v>0</v>
      </c>
      <c r="R174" s="1">
        <f>IF(L174&gt;=3, 1, 0)</f>
        <v>0</v>
      </c>
      <c r="S174" s="1">
        <v>0</v>
      </c>
      <c r="T174" s="1">
        <v>0</v>
      </c>
      <c r="U174" s="1">
        <f>T174+S174</f>
        <v>0</v>
      </c>
      <c r="V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</row>
    <row r="175" spans="1:30">
      <c r="A175" s="1" t="s">
        <v>435</v>
      </c>
      <c r="B175" s="1" t="s">
        <v>436</v>
      </c>
      <c r="C175" s="1">
        <f>(AD175+AC175)*R175</f>
        <v>0</v>
      </c>
      <c r="K175" s="1">
        <f>IF(F175*(H175+J175)*(G175+I175+J175)&gt;0,1,0)</f>
        <v>0</v>
      </c>
      <c r="L175" s="1">
        <f>SUM(M175:Q175)</f>
        <v>1</v>
      </c>
      <c r="M175" s="1">
        <v>0</v>
      </c>
      <c r="N175" s="1">
        <v>0</v>
      </c>
      <c r="O175" s="1">
        <v>1</v>
      </c>
      <c r="R175" s="1">
        <f>IF(L175&gt;=3, 1, 0)</f>
        <v>0</v>
      </c>
      <c r="S175" s="1">
        <v>0</v>
      </c>
      <c r="T175" s="1">
        <v>0</v>
      </c>
      <c r="U175" s="1">
        <f>T175+S175</f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</row>
    <row r="176" spans="1:30">
      <c r="A176" s="1" t="s">
        <v>480</v>
      </c>
      <c r="B176" s="1" t="s">
        <v>481</v>
      </c>
      <c r="C176" s="1">
        <f>(AD176+AC176)*R176</f>
        <v>0</v>
      </c>
      <c r="K176" s="1">
        <f>IF(F176*(H176+J176)*(G176+I176+J176)&gt;0,1,0)</f>
        <v>0</v>
      </c>
      <c r="L176" s="1">
        <f>SUM(M176:Q176)</f>
        <v>1</v>
      </c>
      <c r="M176" s="1">
        <v>0</v>
      </c>
      <c r="N176" s="1">
        <v>0</v>
      </c>
      <c r="O176" s="1">
        <v>1</v>
      </c>
      <c r="R176" s="1">
        <f>IF(L176&gt;=3, 1, 0)</f>
        <v>0</v>
      </c>
      <c r="S176" s="1">
        <v>0</v>
      </c>
      <c r="T176" s="1">
        <v>0</v>
      </c>
      <c r="U176" s="1">
        <f>T176+S176</f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</row>
    <row r="177" spans="1:30">
      <c r="A177" s="1" t="s">
        <v>353</v>
      </c>
      <c r="B177" s="1" t="s">
        <v>354</v>
      </c>
      <c r="C177" s="1">
        <f>(AD177+AC177)*R177</f>
        <v>0</v>
      </c>
      <c r="K177" s="1">
        <f>IF(F177*(H177+J177)*(G177+I177+J177)&gt;0,1,0)</f>
        <v>0</v>
      </c>
      <c r="L177" s="1">
        <f>SUM(M177:Q177)</f>
        <v>1</v>
      </c>
      <c r="M177" s="1">
        <v>1</v>
      </c>
      <c r="N177" s="1">
        <v>0</v>
      </c>
      <c r="O177" s="1">
        <v>0</v>
      </c>
      <c r="R177" s="1">
        <f>IF(L177&gt;=3, 1, 0)</f>
        <v>0</v>
      </c>
      <c r="S177" s="1">
        <v>0</v>
      </c>
      <c r="T177" s="1">
        <v>0</v>
      </c>
      <c r="U177" s="1">
        <f>T177+S177</f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</row>
    <row r="178" spans="1:30">
      <c r="A178" s="1" t="s">
        <v>355</v>
      </c>
      <c r="B178" s="1" t="s">
        <v>356</v>
      </c>
      <c r="C178" s="1">
        <f>(AD178+AC178)*R178</f>
        <v>0</v>
      </c>
      <c r="K178" s="1">
        <f>IF(F178*(H178+J178)*(G178+I178+J178)&gt;0,1,0)</f>
        <v>0</v>
      </c>
      <c r="L178" s="1">
        <f>SUM(M178:Q178)</f>
        <v>1</v>
      </c>
      <c r="M178" s="1">
        <v>1</v>
      </c>
      <c r="N178" s="1">
        <v>0</v>
      </c>
      <c r="O178" s="1">
        <v>0</v>
      </c>
      <c r="R178" s="1">
        <f>IF(L178&gt;=3, 1, 0)</f>
        <v>0</v>
      </c>
      <c r="S178" s="1">
        <v>0</v>
      </c>
      <c r="T178" s="1">
        <v>0</v>
      </c>
      <c r="U178" s="1">
        <f>T178+S178</f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</row>
    <row r="179" spans="1:30">
      <c r="A179" s="1" t="s">
        <v>505</v>
      </c>
      <c r="B179" s="1" t="s">
        <v>504</v>
      </c>
      <c r="C179" s="1">
        <f>(AD179+AC179)*R179</f>
        <v>0</v>
      </c>
      <c r="K179" s="1">
        <f>IF(F179*(H179+J179)*(G179+I179+J179)&gt;0,1,0)</f>
        <v>0</v>
      </c>
      <c r="L179" s="1">
        <f>SUM(M179:Q179)</f>
        <v>1</v>
      </c>
      <c r="M179" s="1">
        <v>0</v>
      </c>
      <c r="N179" s="1">
        <v>0</v>
      </c>
      <c r="O179" s="1">
        <v>0</v>
      </c>
      <c r="P179" s="1">
        <v>1</v>
      </c>
      <c r="R179" s="1">
        <f>IF(L179&gt;=3, 1, 0)</f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</row>
    <row r="180" spans="1:30">
      <c r="A180" s="1" t="s">
        <v>357</v>
      </c>
      <c r="B180" s="1" t="s">
        <v>358</v>
      </c>
      <c r="C180" s="1">
        <f>(AD180+AC180)*R180</f>
        <v>0</v>
      </c>
      <c r="K180" s="1">
        <f>IF(F180*(H180+J180)*(G180+I180+J180)&gt;0,1,0)</f>
        <v>0</v>
      </c>
      <c r="L180" s="1">
        <f>SUM(M180:Q180)</f>
        <v>1</v>
      </c>
      <c r="M180" s="1">
        <v>0</v>
      </c>
      <c r="N180" s="1">
        <v>1</v>
      </c>
      <c r="O180" s="1">
        <v>0</v>
      </c>
      <c r="R180" s="1">
        <f>IF(L180&gt;=3, 1, 0)</f>
        <v>0</v>
      </c>
      <c r="S180" s="1">
        <v>0</v>
      </c>
      <c r="T180" s="1">
        <v>0</v>
      </c>
      <c r="U180" s="1">
        <f>T180+S180</f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</row>
    <row r="181" spans="1:30">
      <c r="A181" s="1" t="s">
        <v>313</v>
      </c>
      <c r="B181" s="1" t="s">
        <v>314</v>
      </c>
      <c r="C181" s="1">
        <f>(AD181+AC181)*R181</f>
        <v>0</v>
      </c>
      <c r="K181" s="1">
        <f>IF(F181*(H181+J181)*(G181+I181+J181)&gt;0,1,0)</f>
        <v>0</v>
      </c>
      <c r="L181" s="1">
        <f>SUM(M181:Q181)</f>
        <v>3</v>
      </c>
      <c r="M181" s="1">
        <v>0</v>
      </c>
      <c r="N181" s="1">
        <v>1</v>
      </c>
      <c r="O181" s="1">
        <v>0</v>
      </c>
      <c r="Q181" s="1">
        <v>2</v>
      </c>
      <c r="R181" s="1">
        <f>IF(L181&gt;=3, 1, 0)</f>
        <v>1</v>
      </c>
      <c r="S181" s="1">
        <v>0</v>
      </c>
      <c r="T181" s="1">
        <v>0</v>
      </c>
      <c r="U181" s="1">
        <f>T181+S181</f>
        <v>0</v>
      </c>
      <c r="V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</row>
    <row r="182" spans="1:30">
      <c r="A182" s="1" t="s">
        <v>471</v>
      </c>
      <c r="B182" s="1" t="s">
        <v>472</v>
      </c>
      <c r="C182" s="1">
        <f>(AD182+AC182)*R182</f>
        <v>0</v>
      </c>
      <c r="K182" s="1">
        <f>IF(F182*(H182+J182)*(G182+I182+J182)&gt;0,1,0)</f>
        <v>0</v>
      </c>
      <c r="L182" s="1">
        <f>SUM(M182:Q182)</f>
        <v>3</v>
      </c>
      <c r="M182" s="1">
        <v>0</v>
      </c>
      <c r="N182" s="1">
        <v>0</v>
      </c>
      <c r="O182" s="1">
        <v>1</v>
      </c>
      <c r="Q182" s="1">
        <v>2</v>
      </c>
      <c r="R182" s="1">
        <f>IF(L182&gt;=3, 1, 0)</f>
        <v>1</v>
      </c>
      <c r="S182" s="1">
        <v>0</v>
      </c>
      <c r="T182" s="1">
        <v>0</v>
      </c>
      <c r="U182" s="1">
        <f>T182+S182</f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</row>
    <row r="183" spans="1:30">
      <c r="A183" s="1" t="s">
        <v>502</v>
      </c>
      <c r="B183" s="1" t="s">
        <v>503</v>
      </c>
      <c r="C183" s="1">
        <f>(AD183+AC183)*R183</f>
        <v>0</v>
      </c>
      <c r="K183" s="1">
        <f>IF(F183*(H183+J183)*(G183+I183+J183)&gt;0,1,0)</f>
        <v>0</v>
      </c>
      <c r="L183" s="1">
        <f>SUM(M183:Q183)</f>
        <v>1</v>
      </c>
      <c r="M183" s="1">
        <v>0</v>
      </c>
      <c r="N183" s="1">
        <v>0</v>
      </c>
      <c r="O183" s="1">
        <v>0</v>
      </c>
      <c r="P183" s="1">
        <v>1</v>
      </c>
      <c r="R183" s="1">
        <f>IF(L183&gt;=3, 1, 0)</f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</row>
    <row r="184" spans="1:30">
      <c r="A184" s="1" t="s">
        <v>443</v>
      </c>
      <c r="B184" s="1" t="s">
        <v>444</v>
      </c>
      <c r="C184" s="1">
        <f>(AD184+AC184)*R184</f>
        <v>0</v>
      </c>
      <c r="K184" s="1">
        <f>IF(F184*(H184+J184)*(G184+I184+J184)&gt;0,1,0)</f>
        <v>0</v>
      </c>
      <c r="L184" s="1">
        <f>SUM(M184:Q184)</f>
        <v>3</v>
      </c>
      <c r="M184" s="1">
        <v>0</v>
      </c>
      <c r="N184" s="1">
        <v>0</v>
      </c>
      <c r="O184" s="1">
        <v>1</v>
      </c>
      <c r="Q184" s="1">
        <v>2</v>
      </c>
      <c r="R184" s="1">
        <f>IF(L184&gt;=3, 1, 0)</f>
        <v>1</v>
      </c>
      <c r="S184" s="1">
        <v>0</v>
      </c>
      <c r="T184" s="1">
        <v>0</v>
      </c>
      <c r="U184" s="1">
        <f>T184+S184</f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</row>
    <row r="185" spans="1:30">
      <c r="A185" s="1" t="s">
        <v>359</v>
      </c>
      <c r="B185" s="1" t="s">
        <v>360</v>
      </c>
      <c r="C185" s="1">
        <f>(AD185+AC185)*R185</f>
        <v>0</v>
      </c>
      <c r="K185" s="1">
        <f>IF(F185*(H185+J185)*(G185+I185+J185)&gt;0,1,0)</f>
        <v>0</v>
      </c>
      <c r="L185" s="1">
        <f>SUM(M185:Q185)</f>
        <v>4</v>
      </c>
      <c r="M185" s="1">
        <v>1</v>
      </c>
      <c r="N185" s="1">
        <v>1</v>
      </c>
      <c r="O185" s="1">
        <v>0</v>
      </c>
      <c r="Q185" s="1">
        <v>2</v>
      </c>
      <c r="R185" s="1">
        <f>IF(L185&gt;=3, 1, 0)</f>
        <v>1</v>
      </c>
      <c r="S185" s="1">
        <v>0</v>
      </c>
      <c r="T185" s="1">
        <v>0</v>
      </c>
      <c r="U185" s="1">
        <f>T185+S185</f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</row>
    <row r="186" spans="1:30">
      <c r="A186" s="1" t="s">
        <v>465</v>
      </c>
      <c r="B186" s="1" t="s">
        <v>466</v>
      </c>
      <c r="C186" s="1">
        <f>(AD186+AC186)*R186</f>
        <v>0</v>
      </c>
      <c r="K186" s="1">
        <f>IF(F186*(H186+J186)*(G186+I186+J186)&gt;0,1,0)</f>
        <v>0</v>
      </c>
      <c r="L186" s="1">
        <f>SUM(M186:Q186)</f>
        <v>1</v>
      </c>
      <c r="M186" s="1">
        <v>0</v>
      </c>
      <c r="N186" s="1">
        <v>0</v>
      </c>
      <c r="O186" s="1">
        <v>1</v>
      </c>
      <c r="R186" s="1">
        <f>IF(L186&gt;=3, 1, 0)</f>
        <v>0</v>
      </c>
      <c r="S186" s="1">
        <v>0</v>
      </c>
      <c r="T186" s="1">
        <v>0</v>
      </c>
      <c r="U186" s="1">
        <f>T186+S186</f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</row>
    <row r="187" spans="1:30">
      <c r="A187" s="1" t="s">
        <v>508</v>
      </c>
      <c r="B187" s="1" t="s">
        <v>479</v>
      </c>
      <c r="C187" s="1">
        <f>(AD187+AC187)*R187</f>
        <v>0</v>
      </c>
      <c r="K187" s="1">
        <f>IF(F187*(H187+J187)*(G187+I187+J187)&gt;0,1,0)</f>
        <v>0</v>
      </c>
      <c r="L187" s="1">
        <f>SUM(M187:Q187)</f>
        <v>2</v>
      </c>
      <c r="M187" s="1">
        <v>0</v>
      </c>
      <c r="N187" s="1">
        <v>0</v>
      </c>
      <c r="O187" s="1">
        <v>1</v>
      </c>
      <c r="Q187" s="1">
        <v>1</v>
      </c>
      <c r="R187" s="1">
        <f>IF(L187&gt;=3, 1, 0)</f>
        <v>0</v>
      </c>
      <c r="S187" s="1">
        <v>0</v>
      </c>
      <c r="T187" s="1">
        <v>0</v>
      </c>
      <c r="U187" s="1">
        <f>T187+S187</f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</row>
    <row r="188" spans="1:30">
      <c r="A188" s="1" t="s">
        <v>361</v>
      </c>
      <c r="B188" s="1" t="s">
        <v>362</v>
      </c>
      <c r="C188" s="1">
        <f>(AD188+AC188)*R188</f>
        <v>0</v>
      </c>
      <c r="K188" s="1">
        <f>IF(F188*(H188+J188)*(G188+I188+J188)&gt;0,1,0)</f>
        <v>0</v>
      </c>
      <c r="L188" s="1">
        <f>SUM(M188:Q188)</f>
        <v>1</v>
      </c>
      <c r="M188" s="1">
        <v>0</v>
      </c>
      <c r="N188" s="1">
        <v>1</v>
      </c>
      <c r="O188" s="1">
        <v>0</v>
      </c>
      <c r="R188" s="1">
        <f>IF(L188&gt;=3, 1, 0)</f>
        <v>0</v>
      </c>
      <c r="S188" s="1">
        <v>0</v>
      </c>
      <c r="T188" s="1">
        <v>0</v>
      </c>
      <c r="U188" s="1">
        <f>T188+S188</f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</row>
    <row r="189" spans="1:30">
      <c r="A189" s="1" t="s">
        <v>363</v>
      </c>
      <c r="B189" s="1" t="s">
        <v>364</v>
      </c>
      <c r="C189" s="1">
        <f>(AD189+AC189)*R189</f>
        <v>0</v>
      </c>
      <c r="K189" s="1">
        <f>IF(F189*(H189+J189)*(G189+I189+J189)&gt;0,1,0)</f>
        <v>0</v>
      </c>
      <c r="L189" s="1">
        <f>SUM(M189:Q189)</f>
        <v>1</v>
      </c>
      <c r="M189" s="1">
        <v>1</v>
      </c>
      <c r="N189" s="1">
        <v>0</v>
      </c>
      <c r="O189" s="1">
        <v>0</v>
      </c>
      <c r="R189" s="1">
        <f>IF(L189&gt;=3, 1, 0)</f>
        <v>0</v>
      </c>
      <c r="S189" s="1">
        <v>0</v>
      </c>
      <c r="T189" s="1">
        <v>0</v>
      </c>
      <c r="U189" s="1">
        <f>T189+S189</f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</row>
    <row r="190" spans="1:30">
      <c r="A190" s="1" t="s">
        <v>453</v>
      </c>
      <c r="B190" s="1" t="s">
        <v>454</v>
      </c>
      <c r="C190" s="1">
        <f>(AD190+AC190)*R190</f>
        <v>0</v>
      </c>
      <c r="K190" s="1">
        <f>IF(F190*(H190+J190)*(G190+I190+J190)&gt;0,1,0)</f>
        <v>0</v>
      </c>
      <c r="L190" s="1">
        <f>SUM(M190:Q190)</f>
        <v>1</v>
      </c>
      <c r="M190" s="1">
        <v>0</v>
      </c>
      <c r="N190" s="1">
        <v>0</v>
      </c>
      <c r="O190" s="1">
        <v>1</v>
      </c>
      <c r="R190" s="1">
        <f>IF(L190&gt;=3, 1, 0)</f>
        <v>0</v>
      </c>
      <c r="S190" s="1">
        <v>0</v>
      </c>
      <c r="T190" s="1">
        <v>0</v>
      </c>
      <c r="U190" s="1">
        <f>T190+S190</f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</row>
    <row r="191" spans="1:30">
      <c r="A191" s="1" t="s">
        <v>365</v>
      </c>
      <c r="B191" s="1" t="s">
        <v>366</v>
      </c>
      <c r="C191" s="1">
        <f>(AD191+AC191)*R191</f>
        <v>0</v>
      </c>
      <c r="K191" s="1">
        <f>IF(F191*(H191+J191)*(G191+I191+J191)&gt;0,1,0)</f>
        <v>0</v>
      </c>
      <c r="L191" s="1">
        <f>SUM(M191:Q191)</f>
        <v>1</v>
      </c>
      <c r="M191" s="1">
        <v>1</v>
      </c>
      <c r="N191" s="1">
        <v>0</v>
      </c>
      <c r="O191" s="1">
        <v>0</v>
      </c>
      <c r="R191" s="1">
        <f>IF(L191&gt;=3, 1, 0)</f>
        <v>0</v>
      </c>
      <c r="S191" s="1">
        <v>0</v>
      </c>
      <c r="T191" s="1">
        <v>0</v>
      </c>
      <c r="U191" s="1">
        <f>T191+S191</f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</row>
    <row r="192" spans="1:30">
      <c r="A192" s="1" t="s">
        <v>451</v>
      </c>
      <c r="B192" s="1" t="s">
        <v>452</v>
      </c>
      <c r="C192" s="1">
        <f>(AD192+AC192)*R192</f>
        <v>0</v>
      </c>
      <c r="K192" s="1">
        <f>IF(F192*(H192+J192)*(G192+I192+J192)&gt;0,1,0)</f>
        <v>0</v>
      </c>
      <c r="L192" s="1">
        <f>SUM(M192:Q192)</f>
        <v>1</v>
      </c>
      <c r="M192" s="1">
        <v>0</v>
      </c>
      <c r="N192" s="1">
        <v>0</v>
      </c>
      <c r="O192" s="1">
        <v>1</v>
      </c>
      <c r="R192" s="1">
        <f>IF(L192&gt;=3, 1, 0)</f>
        <v>0</v>
      </c>
      <c r="S192" s="1">
        <v>0</v>
      </c>
      <c r="T192" s="1">
        <v>0</v>
      </c>
      <c r="U192" s="1">
        <f>T192+S192</f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</row>
    <row r="193" spans="1:30">
      <c r="A193" s="1" t="s">
        <v>441</v>
      </c>
      <c r="B193" s="1" t="s">
        <v>442</v>
      </c>
      <c r="C193" s="1">
        <f>(AD193+AC193)*R193</f>
        <v>0</v>
      </c>
      <c r="K193" s="1">
        <f>IF(F193*(H193+J193)*(G193+I193+J193)&gt;0,1,0)</f>
        <v>0</v>
      </c>
      <c r="L193" s="1">
        <f>SUM(M193:Q193)</f>
        <v>1</v>
      </c>
      <c r="M193" s="1">
        <v>0</v>
      </c>
      <c r="N193" s="1">
        <v>0</v>
      </c>
      <c r="O193" s="1">
        <v>1</v>
      </c>
      <c r="R193" s="1">
        <f>IF(L193&gt;=3, 1, 0)</f>
        <v>0</v>
      </c>
      <c r="S193" s="1">
        <v>0</v>
      </c>
      <c r="T193" s="1">
        <v>0</v>
      </c>
      <c r="U193" s="1">
        <f>T193+S193</f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</row>
    <row r="194" spans="1:30">
      <c r="A194" s="1" t="s">
        <v>431</v>
      </c>
      <c r="B194" s="1" t="s">
        <v>432</v>
      </c>
      <c r="C194" s="1">
        <f>(AD194+AC194)*R194</f>
        <v>0</v>
      </c>
      <c r="K194" s="1">
        <f>IF(F194*(H194+J194)*(G194+I194+J194)&gt;0,1,0)</f>
        <v>0</v>
      </c>
      <c r="L194" s="1">
        <f>SUM(M194:Q194)</f>
        <v>1</v>
      </c>
      <c r="M194" s="1">
        <v>0</v>
      </c>
      <c r="N194" s="1">
        <v>0</v>
      </c>
      <c r="O194" s="1">
        <v>1</v>
      </c>
      <c r="R194" s="1">
        <f>IF(L194&gt;=3, 1, 0)</f>
        <v>0</v>
      </c>
      <c r="S194" s="1">
        <v>0</v>
      </c>
      <c r="T194" s="1">
        <v>0</v>
      </c>
      <c r="U194" s="1">
        <f>T194+S194</f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</row>
    <row r="195" spans="1:30">
      <c r="A195" s="1" t="s">
        <v>367</v>
      </c>
      <c r="B195" s="1" t="s">
        <v>368</v>
      </c>
      <c r="C195" s="1">
        <f>(AD195+AC195)*R195</f>
        <v>0</v>
      </c>
      <c r="K195" s="1">
        <f>IF(F195*(H195+J195)*(G195+I195+J195)&gt;0,1,0)</f>
        <v>0</v>
      </c>
      <c r="L195" s="1">
        <f>SUM(M195:Q195)</f>
        <v>1</v>
      </c>
      <c r="M195" s="1">
        <v>0</v>
      </c>
      <c r="N195" s="1">
        <v>1</v>
      </c>
      <c r="O195" s="1">
        <v>0</v>
      </c>
      <c r="R195" s="1">
        <f>IF(L195&gt;=3, 1, 0)</f>
        <v>0</v>
      </c>
      <c r="S195" s="1">
        <v>0</v>
      </c>
      <c r="T195" s="1">
        <v>0</v>
      </c>
      <c r="U195" s="1">
        <f>T195+S195</f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</row>
    <row r="196" spans="1:30">
      <c r="A196" s="1" t="s">
        <v>369</v>
      </c>
      <c r="B196" s="1" t="s">
        <v>370</v>
      </c>
      <c r="C196" s="1">
        <f>(AD196+AC196)*R196</f>
        <v>0</v>
      </c>
      <c r="K196" s="1">
        <f>IF(F196*(H196+J196)*(G196+I196+J196)&gt;0,1,0)</f>
        <v>0</v>
      </c>
      <c r="L196" s="1">
        <f>SUM(M196:Q196)</f>
        <v>1</v>
      </c>
      <c r="M196" s="1">
        <v>1</v>
      </c>
      <c r="N196" s="1">
        <v>0</v>
      </c>
      <c r="O196" s="1">
        <v>0</v>
      </c>
      <c r="R196" s="1">
        <f>IF(L196&gt;=3, 1, 0)</f>
        <v>0</v>
      </c>
      <c r="S196" s="1">
        <v>0</v>
      </c>
      <c r="T196" s="1">
        <v>0</v>
      </c>
      <c r="U196" s="1">
        <f>T196+S196</f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</row>
    <row r="197" spans="1:30">
      <c r="A197" s="1" t="s">
        <v>309</v>
      </c>
      <c r="B197" s="1" t="s">
        <v>310</v>
      </c>
      <c r="C197" s="1">
        <f>(AD197+AC197)*R197</f>
        <v>0</v>
      </c>
      <c r="F197" s="1">
        <v>1</v>
      </c>
      <c r="G197" s="1">
        <v>0</v>
      </c>
      <c r="K197" s="1">
        <f>IF(F197*(H197+J197)*(G197+I197+J197)&gt;0,1,0)</f>
        <v>0</v>
      </c>
      <c r="L197" s="1">
        <f>SUM(M197:Q197)</f>
        <v>2</v>
      </c>
      <c r="M197" s="1">
        <v>0</v>
      </c>
      <c r="N197" s="1">
        <v>0</v>
      </c>
      <c r="O197" s="1">
        <v>0</v>
      </c>
      <c r="Q197" s="1">
        <v>2</v>
      </c>
      <c r="R197" s="1">
        <f>IF(L197&gt;=3, 1, 0)</f>
        <v>0</v>
      </c>
      <c r="S197" s="1">
        <v>0</v>
      </c>
      <c r="T197" s="1">
        <v>0</v>
      </c>
      <c r="U197" s="1">
        <f>T197+S197</f>
        <v>0</v>
      </c>
      <c r="V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</row>
    <row r="198" spans="1:30">
      <c r="A198" s="1" t="s">
        <v>315</v>
      </c>
      <c r="B198" s="1" t="s">
        <v>316</v>
      </c>
      <c r="C198" s="1">
        <f>(AD198+AC198)*R198</f>
        <v>0</v>
      </c>
      <c r="K198" s="1">
        <f>IF(F198*(H198+J198)*(G198+I198+J198)&gt;0,1,0)</f>
        <v>0</v>
      </c>
      <c r="L198" s="1">
        <f>SUM(M198:Q198)</f>
        <v>0</v>
      </c>
      <c r="M198" s="1">
        <v>0</v>
      </c>
      <c r="N198" s="1">
        <v>0</v>
      </c>
      <c r="O198" s="1">
        <v>0</v>
      </c>
      <c r="R198" s="1">
        <f>IF(L198&gt;=3, 1, 0)</f>
        <v>0</v>
      </c>
      <c r="S198" s="1">
        <v>0</v>
      </c>
      <c r="T198" s="1">
        <v>0</v>
      </c>
      <c r="U198" s="1">
        <f>T198+S198</f>
        <v>0</v>
      </c>
      <c r="V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</row>
    <row r="199" spans="1:30">
      <c r="A199" s="1" t="s">
        <v>327</v>
      </c>
      <c r="B199" s="1" t="s">
        <v>328</v>
      </c>
      <c r="C199" s="1">
        <f>(AD199+AC199)*R199</f>
        <v>0</v>
      </c>
      <c r="K199" s="1">
        <f>IF(F199*(H199+J199)*(G199+I199+J199)&gt;0,1,0)</f>
        <v>0</v>
      </c>
      <c r="L199" s="1">
        <f>SUM(M199:Q199)</f>
        <v>1</v>
      </c>
      <c r="M199" s="1">
        <v>1</v>
      </c>
      <c r="N199" s="1">
        <v>0</v>
      </c>
      <c r="O199" s="1">
        <v>0</v>
      </c>
      <c r="R199" s="1">
        <f>IF(L199&gt;=3, 1, 0)</f>
        <v>0</v>
      </c>
      <c r="S199" s="1">
        <v>0</v>
      </c>
      <c r="T199" s="1">
        <v>0</v>
      </c>
      <c r="U199" s="1">
        <f>T199+S199</f>
        <v>0</v>
      </c>
      <c r="V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</row>
    <row r="200" spans="1:30">
      <c r="A200" s="1" t="s">
        <v>371</v>
      </c>
      <c r="B200" s="1" t="s">
        <v>372</v>
      </c>
      <c r="C200" s="1">
        <f>(AD200+AC200)*R200</f>
        <v>0</v>
      </c>
      <c r="K200" s="1">
        <f>IF(F200*(H200+J200)*(G200+I200+J200)&gt;0,1,0)</f>
        <v>0</v>
      </c>
      <c r="L200" s="1">
        <f>SUM(M200:Q200)</f>
        <v>1</v>
      </c>
      <c r="M200" s="1">
        <v>0</v>
      </c>
      <c r="N200" s="1">
        <v>1</v>
      </c>
      <c r="O200" s="1">
        <v>0</v>
      </c>
      <c r="R200" s="1">
        <f>IF(L200&gt;=3, 1, 0)</f>
        <v>0</v>
      </c>
      <c r="S200" s="1">
        <v>0</v>
      </c>
      <c r="T200" s="1">
        <v>0</v>
      </c>
      <c r="U200" s="1">
        <f>T200+S200</f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</row>
    <row r="201" spans="1:30">
      <c r="A201" s="1" t="s">
        <v>373</v>
      </c>
      <c r="B201" s="1" t="s">
        <v>374</v>
      </c>
      <c r="C201" s="1">
        <f>(AD201+AC201)*R201</f>
        <v>0</v>
      </c>
      <c r="K201" s="1">
        <f>IF(F201*(H201+J201)*(G201+I201+J201)&gt;0,1,0)</f>
        <v>0</v>
      </c>
      <c r="L201" s="1">
        <f>SUM(M201:Q201)</f>
        <v>1</v>
      </c>
      <c r="M201" s="1">
        <v>0</v>
      </c>
      <c r="N201" s="1">
        <v>1</v>
      </c>
      <c r="O201" s="1">
        <v>0</v>
      </c>
      <c r="R201" s="1">
        <f>IF(L201&gt;=3, 1, 0)</f>
        <v>0</v>
      </c>
      <c r="S201" s="1">
        <v>0</v>
      </c>
      <c r="T201" s="1">
        <v>0</v>
      </c>
      <c r="U201" s="1">
        <f>T201+S201</f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</row>
    <row r="202" spans="1:30">
      <c r="A202" s="1" t="s">
        <v>439</v>
      </c>
      <c r="B202" s="1" t="s">
        <v>440</v>
      </c>
      <c r="C202" s="1">
        <f>(AD202+AC202)*R202</f>
        <v>0</v>
      </c>
      <c r="K202" s="1">
        <f>IF(F202*(H202+J202)*(G202+I202+J202)&gt;0,1,0)</f>
        <v>0</v>
      </c>
      <c r="L202" s="1">
        <f>SUM(M202:Q202)</f>
        <v>1</v>
      </c>
      <c r="M202" s="1">
        <v>0</v>
      </c>
      <c r="N202" s="1">
        <v>0</v>
      </c>
      <c r="O202" s="1">
        <v>1</v>
      </c>
      <c r="R202" s="1">
        <f>IF(L202&gt;=3, 1, 0)</f>
        <v>0</v>
      </c>
      <c r="S202" s="1">
        <v>0</v>
      </c>
      <c r="T202" s="1">
        <v>0</v>
      </c>
      <c r="U202" s="1">
        <f>T202+S202</f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</row>
    <row r="203" spans="1:30">
      <c r="A203" s="1" t="s">
        <v>375</v>
      </c>
      <c r="B203" s="1" t="s">
        <v>376</v>
      </c>
      <c r="C203" s="1">
        <f>(AD203+AC203)*R203</f>
        <v>0</v>
      </c>
      <c r="K203" s="1">
        <f>IF(F203*(H203+J203)*(G203+I203+J203)&gt;0,1,0)</f>
        <v>0</v>
      </c>
      <c r="L203" s="1">
        <f>SUM(M203:Q203)</f>
        <v>3</v>
      </c>
      <c r="M203" s="1">
        <v>0</v>
      </c>
      <c r="N203" s="1">
        <v>1</v>
      </c>
      <c r="O203" s="1">
        <v>0</v>
      </c>
      <c r="Q203" s="1">
        <v>2</v>
      </c>
      <c r="R203" s="1">
        <f>IF(L203&gt;=3, 1, 0)</f>
        <v>1</v>
      </c>
      <c r="S203" s="1">
        <v>0</v>
      </c>
      <c r="T203" s="1">
        <v>0</v>
      </c>
      <c r="U203" s="1">
        <f>T203+S203</f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</row>
    <row r="204" spans="1:30">
      <c r="A204" s="1" t="s">
        <v>457</v>
      </c>
      <c r="B204" s="1" t="s">
        <v>458</v>
      </c>
      <c r="C204" s="1">
        <f>(AD204+AC204)*R204</f>
        <v>0</v>
      </c>
      <c r="K204" s="1">
        <f>IF(F204*(H204+J204)*(G204+I204+J204)&gt;0,1,0)</f>
        <v>0</v>
      </c>
      <c r="L204" s="1">
        <f>SUM(M204:Q204)</f>
        <v>1</v>
      </c>
      <c r="M204" s="1">
        <v>0</v>
      </c>
      <c r="N204" s="1">
        <v>0</v>
      </c>
      <c r="O204" s="1">
        <v>1</v>
      </c>
      <c r="R204" s="1">
        <f>IF(L204&gt;=3, 1, 0)</f>
        <v>0</v>
      </c>
      <c r="S204" s="1">
        <v>0</v>
      </c>
      <c r="T204" s="1">
        <v>0</v>
      </c>
      <c r="U204" s="1">
        <f>T204+S204</f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</row>
    <row r="205" spans="1:30">
      <c r="A205" s="1" t="s">
        <v>377</v>
      </c>
      <c r="B205" s="1" t="s">
        <v>378</v>
      </c>
      <c r="C205" s="1">
        <f>(AD205+AC205)*R205</f>
        <v>0</v>
      </c>
      <c r="K205" s="1">
        <f>IF(F205*(H205+J205)*(G205+I205+J205)&gt;0,1,0)</f>
        <v>0</v>
      </c>
      <c r="L205" s="1">
        <f>SUM(M205:Q205)</f>
        <v>1</v>
      </c>
      <c r="M205" s="1">
        <v>0</v>
      </c>
      <c r="N205" s="1">
        <v>1</v>
      </c>
      <c r="O205" s="1">
        <v>0</v>
      </c>
      <c r="R205" s="1">
        <f>IF(L205&gt;=3, 1, 0)</f>
        <v>0</v>
      </c>
      <c r="S205" s="1">
        <v>0</v>
      </c>
      <c r="T205" s="1">
        <v>0</v>
      </c>
      <c r="U205" s="1">
        <f>T205+S205</f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</row>
    <row r="206" spans="1:30">
      <c r="A206" s="1" t="s">
        <v>379</v>
      </c>
      <c r="B206" s="1" t="s">
        <v>380</v>
      </c>
      <c r="C206" s="1">
        <f>(AD206+AC206)*R206</f>
        <v>0</v>
      </c>
      <c r="K206" s="1">
        <f>IF(F206*(H206+J206)*(G206+I206+J206)&gt;0,1,0)</f>
        <v>0</v>
      </c>
      <c r="L206" s="1">
        <f>SUM(M206:Q206)</f>
        <v>1</v>
      </c>
      <c r="M206" s="1">
        <v>0</v>
      </c>
      <c r="N206" s="1">
        <v>1</v>
      </c>
      <c r="O206" s="1">
        <v>0</v>
      </c>
      <c r="R206" s="1">
        <f>IF(L206&gt;=3, 1, 0)</f>
        <v>0</v>
      </c>
      <c r="S206" s="1">
        <v>0</v>
      </c>
      <c r="T206" s="1">
        <v>0</v>
      </c>
      <c r="U206" s="1">
        <f>T206+S206</f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</row>
    <row r="207" spans="1:30">
      <c r="A207" s="1" t="s">
        <v>381</v>
      </c>
      <c r="B207" s="1" t="s">
        <v>382</v>
      </c>
      <c r="C207" s="1">
        <f>(AD207+AC207)*R207</f>
        <v>0</v>
      </c>
      <c r="K207" s="1">
        <f>IF(F207*(H207+J207)*(G207+I207+J207)&gt;0,1,0)</f>
        <v>0</v>
      </c>
      <c r="L207" s="1">
        <f>SUM(M207:Q207)</f>
        <v>1</v>
      </c>
      <c r="M207" s="1">
        <v>0</v>
      </c>
      <c r="N207" s="1">
        <v>1</v>
      </c>
      <c r="O207" s="1">
        <v>0</v>
      </c>
      <c r="R207" s="1">
        <f>IF(L207&gt;=3, 1, 0)</f>
        <v>0</v>
      </c>
      <c r="S207" s="1">
        <v>0</v>
      </c>
      <c r="T207" s="1">
        <v>0</v>
      </c>
      <c r="U207" s="1">
        <f>T207+S207</f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</row>
    <row r="208" spans="1:30">
      <c r="A208" s="1" t="s">
        <v>473</v>
      </c>
      <c r="B208" s="1" t="s">
        <v>474</v>
      </c>
      <c r="C208" s="1">
        <f>(AD208+AC208)*R208</f>
        <v>0</v>
      </c>
      <c r="K208" s="1">
        <f>IF(F208*(H208+J208)*(G208+I208+J208)&gt;0,1,0)</f>
        <v>0</v>
      </c>
      <c r="L208" s="1">
        <f>SUM(M208:Q208)</f>
        <v>1</v>
      </c>
      <c r="M208" s="1">
        <v>0</v>
      </c>
      <c r="N208" s="1">
        <v>0</v>
      </c>
      <c r="O208" s="1">
        <v>1</v>
      </c>
      <c r="R208" s="1">
        <f>IF(L208&gt;=3, 1, 0)</f>
        <v>0</v>
      </c>
      <c r="S208" s="1">
        <v>0</v>
      </c>
      <c r="T208" s="1">
        <v>0</v>
      </c>
      <c r="U208" s="1">
        <f>T208+S208</f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</row>
    <row r="209" spans="1:30">
      <c r="A209" s="1" t="s">
        <v>383</v>
      </c>
      <c r="B209" s="1" t="s">
        <v>384</v>
      </c>
      <c r="C209" s="1">
        <f>(AD209+AC209)*R209</f>
        <v>0</v>
      </c>
      <c r="K209" s="1">
        <f>IF(F209*(H209+J209)*(G209+I209+J209)&gt;0,1,0)</f>
        <v>0</v>
      </c>
      <c r="L209" s="1">
        <f>SUM(M209:Q209)</f>
        <v>1</v>
      </c>
      <c r="M209" s="1">
        <v>0</v>
      </c>
      <c r="N209" s="1">
        <v>1</v>
      </c>
      <c r="O209" s="1">
        <v>0</v>
      </c>
      <c r="R209" s="1">
        <f>IF(L209&gt;=3, 1, 0)</f>
        <v>0</v>
      </c>
      <c r="S209" s="1">
        <v>0</v>
      </c>
      <c r="T209" s="1">
        <v>0</v>
      </c>
      <c r="U209" s="1">
        <f>T209+S209</f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</row>
    <row r="210" spans="1:30">
      <c r="A210" s="1" t="s">
        <v>437</v>
      </c>
      <c r="B210" s="1" t="s">
        <v>438</v>
      </c>
      <c r="C210" s="1">
        <f>(AD210+AC210)*R210</f>
        <v>0</v>
      </c>
      <c r="E210" s="1">
        <v>1</v>
      </c>
      <c r="K210" s="1">
        <f>IF(F210*(H210+J210)*(G210+I210+J210)&gt;0,1,0)</f>
        <v>0</v>
      </c>
      <c r="L210" s="1">
        <f>SUM(M210:Q210)</f>
        <v>1</v>
      </c>
      <c r="M210" s="1">
        <v>0</v>
      </c>
      <c r="N210" s="1">
        <v>0</v>
      </c>
      <c r="O210" s="1">
        <v>1</v>
      </c>
      <c r="R210" s="1">
        <f>IF(L210&gt;=3, 1, 0)</f>
        <v>0</v>
      </c>
      <c r="S210" s="1">
        <v>0</v>
      </c>
      <c r="T210" s="1">
        <v>0</v>
      </c>
      <c r="U210" s="1">
        <f>T210+S210</f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</row>
    <row r="211" spans="1:30">
      <c r="A211" s="1" t="s">
        <v>385</v>
      </c>
      <c r="B211" s="1" t="s">
        <v>386</v>
      </c>
      <c r="C211" s="1">
        <f>(AD211+AC211)*R211</f>
        <v>0</v>
      </c>
      <c r="K211" s="1">
        <f>IF(F211*(H211+J211)*(G211+I211+J211)&gt;0,1,0)</f>
        <v>0</v>
      </c>
      <c r="L211" s="1">
        <f>SUM(M211:Q211)</f>
        <v>1</v>
      </c>
      <c r="M211" s="1">
        <v>0</v>
      </c>
      <c r="N211" s="1">
        <v>1</v>
      </c>
      <c r="O211" s="1">
        <v>0</v>
      </c>
      <c r="R211" s="1">
        <f>IF(L211&gt;=3, 1, 0)</f>
        <v>0</v>
      </c>
      <c r="S211" s="1">
        <v>0</v>
      </c>
      <c r="T211" s="1">
        <v>0</v>
      </c>
      <c r="U211" s="1">
        <f>T211+S211</f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</row>
    <row r="212" spans="1:30">
      <c r="A212" s="1" t="s">
        <v>506</v>
      </c>
      <c r="B212" s="1" t="s">
        <v>507</v>
      </c>
      <c r="C212" s="1">
        <f>(AD212+AC212)*R212</f>
        <v>0</v>
      </c>
      <c r="K212" s="1">
        <f>IF(F212*(H212+J212)*(G212+I212+J212)&gt;0,1,0)</f>
        <v>0</v>
      </c>
      <c r="L212" s="1">
        <f>SUM(M212:Q212)</f>
        <v>2</v>
      </c>
      <c r="M212" s="1">
        <v>0</v>
      </c>
      <c r="N212" s="1">
        <v>0</v>
      </c>
      <c r="O212" s="1">
        <v>0</v>
      </c>
      <c r="Q212" s="1">
        <v>2</v>
      </c>
      <c r="R212" s="1">
        <f>IF(L212&gt;=3, 1, 0)</f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</row>
    <row r="213" spans="1:30">
      <c r="A213" s="1" t="s">
        <v>449</v>
      </c>
      <c r="B213" s="1" t="s">
        <v>450</v>
      </c>
      <c r="C213" s="1">
        <f>(AD213+AC213)*R213</f>
        <v>0</v>
      </c>
      <c r="K213" s="1">
        <f>IF(F213*(H213+J213)*(G213+I213+J213)&gt;0,1,0)</f>
        <v>0</v>
      </c>
      <c r="L213" s="1">
        <f>SUM(M213:Q213)</f>
        <v>1</v>
      </c>
      <c r="M213" s="1">
        <v>0</v>
      </c>
      <c r="N213" s="1">
        <v>0</v>
      </c>
      <c r="O213" s="1">
        <v>1</v>
      </c>
      <c r="R213" s="1">
        <f>IF(L213&gt;=3, 1, 0)</f>
        <v>0</v>
      </c>
      <c r="S213" s="1">
        <v>0</v>
      </c>
      <c r="T213" s="1">
        <v>0</v>
      </c>
      <c r="U213" s="1">
        <f>T213+S213</f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</row>
    <row r="214" spans="1:30">
      <c r="A214" s="1" t="s">
        <v>391</v>
      </c>
      <c r="B214" s="1" t="s">
        <v>392</v>
      </c>
      <c r="C214" s="1">
        <f>(AD214+AC214)*R214</f>
        <v>0</v>
      </c>
      <c r="K214" s="1">
        <f>IF(F214*(H214+J214)*(G214+I214+J214)&gt;0,1,0)</f>
        <v>0</v>
      </c>
      <c r="L214" s="1">
        <f>SUM(M214:Q214)</f>
        <v>1</v>
      </c>
      <c r="M214" s="1">
        <v>0</v>
      </c>
      <c r="N214" s="1">
        <v>1</v>
      </c>
      <c r="O214" s="1">
        <v>0</v>
      </c>
      <c r="R214" s="1">
        <f>IF(L214&gt;=3, 1, 0)</f>
        <v>0</v>
      </c>
      <c r="S214" s="1">
        <v>0</v>
      </c>
      <c r="T214" s="1">
        <v>0</v>
      </c>
      <c r="U214" s="1">
        <f>T214+S214</f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</row>
    <row r="215" spans="1:30">
      <c r="A215" s="1" t="s">
        <v>387</v>
      </c>
      <c r="B215" s="1" t="s">
        <v>388</v>
      </c>
      <c r="C215" s="1">
        <f>(AD215+AC215)*R215</f>
        <v>0</v>
      </c>
      <c r="K215" s="1">
        <f>IF(F215*(H215+J215)*(G215+I215+J215)&gt;0,1,0)</f>
        <v>0</v>
      </c>
      <c r="L215" s="1">
        <f>SUM(M215:Q215)</f>
        <v>1</v>
      </c>
      <c r="M215" s="1">
        <v>1</v>
      </c>
      <c r="N215" s="1">
        <v>0</v>
      </c>
      <c r="O215" s="1">
        <v>0</v>
      </c>
      <c r="R215" s="1">
        <f>IF(L215&gt;=3, 1, 0)</f>
        <v>0</v>
      </c>
      <c r="S215" s="1">
        <v>0</v>
      </c>
      <c r="T215" s="1">
        <v>0</v>
      </c>
      <c r="U215" s="1">
        <f>T215+S215</f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</row>
    <row r="216" spans="1:30">
      <c r="A216" s="1" t="s">
        <v>469</v>
      </c>
      <c r="B216" s="1" t="s">
        <v>470</v>
      </c>
      <c r="C216" s="1">
        <f>(AD216+AC216)*R216</f>
        <v>0</v>
      </c>
      <c r="K216" s="1">
        <f>IF(F216*(H216+J216)*(G216+I216+J216)&gt;0,1,0)</f>
        <v>0</v>
      </c>
      <c r="L216" s="1">
        <f>SUM(M216:Q216)</f>
        <v>3</v>
      </c>
      <c r="M216" s="1">
        <v>0</v>
      </c>
      <c r="N216" s="1">
        <v>0</v>
      </c>
      <c r="O216" s="1">
        <v>1</v>
      </c>
      <c r="Q216" s="1">
        <v>2</v>
      </c>
      <c r="R216" s="1">
        <f>IF(L216&gt;=3, 1, 0)</f>
        <v>1</v>
      </c>
      <c r="S216" s="1">
        <v>0</v>
      </c>
      <c r="T216" s="1">
        <v>0</v>
      </c>
      <c r="U216" s="1">
        <f>T216+S216</f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</row>
    <row r="217" spans="1:30">
      <c r="A217" s="1" t="s">
        <v>395</v>
      </c>
      <c r="B217" s="1" t="s">
        <v>396</v>
      </c>
      <c r="C217" s="1">
        <f>(AD217+AC217)*R217</f>
        <v>0</v>
      </c>
      <c r="K217" s="1">
        <f>IF(F217*(H217+J217)*(G217+I217+J217)&gt;0,1,0)</f>
        <v>0</v>
      </c>
      <c r="L217" s="1">
        <f>SUM(M217:Q217)</f>
        <v>1</v>
      </c>
      <c r="M217" s="1">
        <v>0</v>
      </c>
      <c r="N217" s="1">
        <v>1</v>
      </c>
      <c r="O217" s="1">
        <v>0</v>
      </c>
      <c r="R217" s="1">
        <f>IF(L217&gt;=3, 1, 0)</f>
        <v>0</v>
      </c>
      <c r="S217" s="1">
        <v>0</v>
      </c>
      <c r="T217" s="1">
        <v>0</v>
      </c>
      <c r="U217" s="1">
        <f>T217+S217</f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</row>
    <row r="218" spans="1:30">
      <c r="A218" s="1" t="s">
        <v>335</v>
      </c>
      <c r="B218" s="1" t="s">
        <v>336</v>
      </c>
      <c r="C218" s="1">
        <f>(AD218+AC218)*R218</f>
        <v>0</v>
      </c>
      <c r="K218" s="1">
        <f>IF(F218*(H218+J218)*(G218+I218+J218)&gt;0,1,0)</f>
        <v>0</v>
      </c>
      <c r="L218" s="1">
        <f>SUM(M218:Q218)</f>
        <v>0</v>
      </c>
      <c r="M218" s="1">
        <v>0</v>
      </c>
      <c r="N218" s="1">
        <v>0</v>
      </c>
      <c r="O218" s="1">
        <v>0</v>
      </c>
      <c r="R218" s="1">
        <f>IF(L218&gt;=3, 1, 0)</f>
        <v>0</v>
      </c>
      <c r="S218" s="1">
        <v>0</v>
      </c>
      <c r="T218" s="1">
        <v>0</v>
      </c>
      <c r="U218" s="1">
        <f>T218+S218</f>
        <v>0</v>
      </c>
      <c r="V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</row>
    <row r="219" spans="1:30">
      <c r="A219" s="1" t="s">
        <v>433</v>
      </c>
      <c r="B219" s="1" t="s">
        <v>434</v>
      </c>
      <c r="C219" s="1">
        <f>(AD219+AC219)*R219</f>
        <v>0</v>
      </c>
      <c r="K219" s="1">
        <f>IF(F219*(H219+J219)*(G219+I219+J219)&gt;0,1,0)</f>
        <v>0</v>
      </c>
      <c r="L219" s="1">
        <f>SUM(M219:Q219)</f>
        <v>3</v>
      </c>
      <c r="M219" s="1">
        <v>0</v>
      </c>
      <c r="N219" s="1">
        <v>0</v>
      </c>
      <c r="O219" s="1">
        <v>1</v>
      </c>
      <c r="Q219" s="1">
        <v>2</v>
      </c>
      <c r="R219" s="1">
        <f>IF(L219&gt;=3, 1, 0)</f>
        <v>1</v>
      </c>
      <c r="S219" s="1">
        <v>0</v>
      </c>
      <c r="T219" s="1">
        <v>0</v>
      </c>
      <c r="U219" s="1">
        <f>T219+S219</f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</row>
    <row r="220" spans="1:30">
      <c r="A220" s="1" t="s">
        <v>389</v>
      </c>
      <c r="B220" s="1" t="s">
        <v>390</v>
      </c>
      <c r="C220" s="1">
        <f>(AD220+AC220)*R220</f>
        <v>0</v>
      </c>
      <c r="K220" s="1">
        <f>IF(F220*(H220+J220)*(G220+I220+J220)&gt;0,1,0)</f>
        <v>0</v>
      </c>
      <c r="L220" s="1">
        <f>SUM(M220:Q220)</f>
        <v>1</v>
      </c>
      <c r="M220" s="1">
        <v>1</v>
      </c>
      <c r="N220" s="1">
        <v>0</v>
      </c>
      <c r="O220" s="1">
        <v>0</v>
      </c>
      <c r="R220" s="1">
        <f>IF(L220&gt;=3, 1, 0)</f>
        <v>0</v>
      </c>
      <c r="S220" s="1">
        <v>0</v>
      </c>
      <c r="T220" s="1">
        <v>0</v>
      </c>
      <c r="U220" s="1">
        <f>T220+S220</f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</row>
    <row r="221" spans="1:30">
      <c r="A221" s="1" t="s">
        <v>323</v>
      </c>
      <c r="B221" s="1" t="s">
        <v>324</v>
      </c>
      <c r="C221" s="1">
        <f>(AD221+AC221)*R221</f>
        <v>0</v>
      </c>
      <c r="K221" s="1">
        <f>IF(F221*(H221+J221)*(G221+I221+J221)&gt;0,1,0)</f>
        <v>0</v>
      </c>
      <c r="L221" s="1">
        <f>SUM(M221:Q221)</f>
        <v>0</v>
      </c>
      <c r="M221" s="1">
        <v>0</v>
      </c>
      <c r="N221" s="1">
        <v>0</v>
      </c>
      <c r="O221" s="1">
        <v>0</v>
      </c>
      <c r="R221" s="1">
        <f>IF(L221&gt;=3, 1, 0)</f>
        <v>0</v>
      </c>
      <c r="S221" s="1">
        <v>0</v>
      </c>
      <c r="T221" s="1">
        <v>0</v>
      </c>
      <c r="U221" s="1">
        <f>T221+S221</f>
        <v>0</v>
      </c>
      <c r="V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</row>
    <row r="222" spans="1:30">
      <c r="A222" s="1" t="s">
        <v>393</v>
      </c>
      <c r="B222" s="1" t="s">
        <v>394</v>
      </c>
      <c r="C222" s="1">
        <f>(AD222+AC222)*R222</f>
        <v>0</v>
      </c>
      <c r="K222" s="1">
        <f>IF(F222*(H222+J222)*(G222+I222+J222)&gt;0,1,0)</f>
        <v>0</v>
      </c>
      <c r="L222" s="1">
        <f>SUM(M222:Q222)</f>
        <v>1</v>
      </c>
      <c r="M222" s="1">
        <v>1</v>
      </c>
      <c r="N222" s="1">
        <v>0</v>
      </c>
      <c r="O222" s="1">
        <v>0</v>
      </c>
      <c r="R222" s="1">
        <f>IF(L222&gt;=3, 1, 0)</f>
        <v>0</v>
      </c>
      <c r="S222" s="1">
        <v>0</v>
      </c>
      <c r="T222" s="1">
        <v>0</v>
      </c>
      <c r="U222" s="1">
        <f>T222+S222</f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</row>
    <row r="223" spans="1:30">
      <c r="A223" s="1" t="s">
        <v>325</v>
      </c>
      <c r="B223" s="1" t="s">
        <v>326</v>
      </c>
      <c r="C223" s="1">
        <f>(AD223+AC223)*R223</f>
        <v>0</v>
      </c>
      <c r="K223" s="1">
        <f>IF(F223*(H223+J223)*(G223+I223+J223)&gt;0,1,0)</f>
        <v>0</v>
      </c>
      <c r="L223" s="1">
        <f>SUM(M223:Q223)</f>
        <v>0</v>
      </c>
      <c r="M223" s="1">
        <v>0</v>
      </c>
      <c r="N223" s="1">
        <v>0</v>
      </c>
      <c r="O223" s="1">
        <v>0</v>
      </c>
      <c r="R223" s="1">
        <f>IF(L223&gt;=3, 1, 0)</f>
        <v>0</v>
      </c>
      <c r="S223" s="1">
        <v>0</v>
      </c>
      <c r="T223" s="1">
        <v>0</v>
      </c>
      <c r="U223" s="1">
        <f>T223+S223</f>
        <v>0</v>
      </c>
      <c r="V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</row>
    <row r="224" spans="1:30">
      <c r="A224" s="1" t="s">
        <v>397</v>
      </c>
      <c r="B224" s="1" t="s">
        <v>398</v>
      </c>
      <c r="C224" s="1">
        <f>(AD224+AC224)*R224</f>
        <v>0</v>
      </c>
      <c r="K224" s="1">
        <f>IF(F224*(H224+J224)*(G224+I224+J224)&gt;0,1,0)</f>
        <v>0</v>
      </c>
      <c r="L224" s="1">
        <f>SUM(M224:Q224)</f>
        <v>1</v>
      </c>
      <c r="M224" s="1">
        <v>1</v>
      </c>
      <c r="N224" s="1">
        <v>0</v>
      </c>
      <c r="O224" s="1">
        <v>0</v>
      </c>
      <c r="R224" s="1">
        <f>IF(L224&gt;=3, 1, 0)</f>
        <v>0</v>
      </c>
      <c r="S224" s="1">
        <v>0</v>
      </c>
      <c r="T224" s="1">
        <v>0</v>
      </c>
      <c r="U224" s="1">
        <f>T224+S224</f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</row>
    <row r="225" spans="1:30">
      <c r="A225" s="1" t="s">
        <v>403</v>
      </c>
      <c r="B225" s="1" t="s">
        <v>404</v>
      </c>
      <c r="C225" s="1">
        <f>(AD225+AC225)*R225</f>
        <v>0</v>
      </c>
      <c r="K225" s="1">
        <f>IF(F225*(H225+J225)*(G225+I225+J225)&gt;0,1,0)</f>
        <v>0</v>
      </c>
      <c r="L225" s="1">
        <f>SUM(M225:Q225)</f>
        <v>1</v>
      </c>
      <c r="M225" s="1">
        <v>0</v>
      </c>
      <c r="N225" s="1">
        <v>1</v>
      </c>
      <c r="O225" s="1">
        <v>0</v>
      </c>
      <c r="R225" s="1">
        <f>IF(L225&gt;=3, 1, 0)</f>
        <v>0</v>
      </c>
      <c r="S225" s="1">
        <v>0</v>
      </c>
      <c r="T225" s="1">
        <v>0</v>
      </c>
      <c r="U225" s="1">
        <f>T225+S225</f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</row>
    <row r="226" spans="1:30">
      <c r="A226" s="1" t="s">
        <v>405</v>
      </c>
      <c r="B226" s="1" t="s">
        <v>406</v>
      </c>
      <c r="C226" s="1">
        <f>(AD226+AC226)*R226</f>
        <v>0</v>
      </c>
      <c r="K226" s="1">
        <f>IF(F226*(H226+J226)*(G226+I226+J226)&gt;0,1,0)</f>
        <v>0</v>
      </c>
      <c r="L226" s="1">
        <f>SUM(M226:Q226)</f>
        <v>3</v>
      </c>
      <c r="M226" s="1">
        <v>0</v>
      </c>
      <c r="N226" s="1">
        <v>1</v>
      </c>
      <c r="O226" s="1">
        <v>0</v>
      </c>
      <c r="Q226" s="1">
        <v>2</v>
      </c>
      <c r="R226" s="1">
        <f>IF(L226&gt;=3, 1, 0)</f>
        <v>1</v>
      </c>
      <c r="S226" s="1">
        <v>0</v>
      </c>
      <c r="T226" s="1">
        <v>0</v>
      </c>
      <c r="U226" s="1">
        <f>T226+S226</f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</row>
    <row r="227" spans="1:30">
      <c r="A227" s="1" t="s">
        <v>399</v>
      </c>
      <c r="B227" s="1" t="s">
        <v>400</v>
      </c>
      <c r="C227" s="1">
        <f>(AD227+AC227)*R227</f>
        <v>0</v>
      </c>
      <c r="K227" s="1">
        <f>IF(F227*(H227+J227)*(G227+I227+J227)&gt;0,1,0)</f>
        <v>0</v>
      </c>
      <c r="L227" s="1">
        <f>SUM(M227:Q227)</f>
        <v>2</v>
      </c>
      <c r="M227" s="1">
        <v>1</v>
      </c>
      <c r="N227" s="1">
        <v>0</v>
      </c>
      <c r="O227" s="1">
        <v>1</v>
      </c>
      <c r="R227" s="1">
        <f>IF(L227&gt;=3, 1, 0)</f>
        <v>0</v>
      </c>
      <c r="S227" s="1">
        <v>0</v>
      </c>
      <c r="T227" s="1">
        <v>0</v>
      </c>
      <c r="U227" s="1">
        <f>T227+S227</f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</row>
    <row r="228" spans="1:30">
      <c r="A228" s="1" t="s">
        <v>401</v>
      </c>
      <c r="B228" s="1" t="s">
        <v>402</v>
      </c>
      <c r="C228" s="1">
        <f>(AD228+AC228)*R228</f>
        <v>0</v>
      </c>
      <c r="K228" s="1">
        <f>IF(F228*(H228+J228)*(G228+I228+J228)&gt;0,1,0)</f>
        <v>0</v>
      </c>
      <c r="L228" s="1">
        <f>SUM(M228:Q228)</f>
        <v>1</v>
      </c>
      <c r="M228" s="1">
        <v>1</v>
      </c>
      <c r="N228" s="1">
        <v>0</v>
      </c>
      <c r="O228" s="1">
        <v>0</v>
      </c>
      <c r="R228" s="1">
        <f>IF(L228&gt;=3, 1, 0)</f>
        <v>0</v>
      </c>
      <c r="S228" s="1">
        <v>0</v>
      </c>
      <c r="T228" s="1">
        <v>0</v>
      </c>
      <c r="U228" s="1">
        <f>T228+S228</f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</row>
    <row r="229" spans="1:30">
      <c r="A229" s="1" t="s">
        <v>409</v>
      </c>
      <c r="B229" s="1" t="s">
        <v>410</v>
      </c>
      <c r="C229" s="1">
        <f>(AD229+AC229)*R229</f>
        <v>0</v>
      </c>
      <c r="K229" s="1">
        <f>IF(F229*(H229+J229)*(G229+I229+J229)&gt;0,1,0)</f>
        <v>0</v>
      </c>
      <c r="L229" s="1">
        <f>SUM(M229:Q229)</f>
        <v>1</v>
      </c>
      <c r="M229" s="1">
        <v>0</v>
      </c>
      <c r="N229" s="1">
        <v>1</v>
      </c>
      <c r="O229" s="1">
        <v>0</v>
      </c>
      <c r="R229" s="1">
        <f>IF(L229&gt;=3, 1, 0)</f>
        <v>0</v>
      </c>
      <c r="S229" s="1">
        <v>0</v>
      </c>
      <c r="T229" s="1">
        <v>0</v>
      </c>
      <c r="U229" s="1">
        <f>T229+S229</f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</row>
    <row r="230" spans="1:30">
      <c r="A230" s="1" t="s">
        <v>415</v>
      </c>
      <c r="B230" s="1" t="s">
        <v>416</v>
      </c>
      <c r="C230" s="1">
        <f>(AD230+AC230)*R230</f>
        <v>0</v>
      </c>
      <c r="E230" s="1">
        <v>1</v>
      </c>
      <c r="K230" s="1">
        <f>IF(F230*(H230+J230)*(G230+I230+J230)&gt;0,1,0)</f>
        <v>0</v>
      </c>
      <c r="L230" s="1">
        <f>SUM(M230:Q230)</f>
        <v>3</v>
      </c>
      <c r="M230" s="1">
        <v>0</v>
      </c>
      <c r="N230" s="1">
        <v>1</v>
      </c>
      <c r="O230" s="1">
        <v>0</v>
      </c>
      <c r="Q230" s="1">
        <v>2</v>
      </c>
      <c r="R230" s="1">
        <f>IF(L230&gt;=3, 1, 0)</f>
        <v>1</v>
      </c>
      <c r="S230" s="1">
        <v>0</v>
      </c>
      <c r="T230" s="1">
        <v>0</v>
      </c>
      <c r="U230" s="1">
        <f>T230+S230</f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</row>
    <row r="231" spans="1:30">
      <c r="A231" s="1" t="s">
        <v>407</v>
      </c>
      <c r="B231" s="1" t="s">
        <v>408</v>
      </c>
      <c r="C231" s="1">
        <f>(AD231+AC231)*R231</f>
        <v>0</v>
      </c>
      <c r="K231" s="1">
        <f>IF(F231*(H231+J231)*(G231+I231+J231)&gt;0,1,0)</f>
        <v>0</v>
      </c>
      <c r="L231" s="1">
        <f>SUM(M231:Q231)</f>
        <v>1</v>
      </c>
      <c r="M231" s="1">
        <v>1</v>
      </c>
      <c r="N231" s="1">
        <v>0</v>
      </c>
      <c r="O231" s="1">
        <v>0</v>
      </c>
      <c r="R231" s="1">
        <f>IF(L231&gt;=3, 1, 0)</f>
        <v>0</v>
      </c>
      <c r="S231" s="1">
        <v>0</v>
      </c>
      <c r="T231" s="1">
        <v>0</v>
      </c>
      <c r="U231" s="1">
        <f>T231+S231</f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</row>
    <row r="232" spans="1:30">
      <c r="A232" s="1" t="s">
        <v>317</v>
      </c>
      <c r="B232" s="1" t="s">
        <v>318</v>
      </c>
      <c r="C232" s="1">
        <f>(AD232+AC232)*R232</f>
        <v>0</v>
      </c>
      <c r="K232" s="1">
        <f>IF(F232*(H232+J232)*(G232+I232+J232)&gt;0,1,0)</f>
        <v>0</v>
      </c>
      <c r="L232" s="1">
        <f>SUM(M232:Q232)</f>
        <v>0</v>
      </c>
      <c r="M232" s="1">
        <v>0</v>
      </c>
      <c r="N232" s="1">
        <v>0</v>
      </c>
      <c r="O232" s="1">
        <v>0</v>
      </c>
      <c r="R232" s="1">
        <f>IF(L232&gt;=3, 1, 0)</f>
        <v>0</v>
      </c>
      <c r="S232" s="1">
        <v>0</v>
      </c>
      <c r="T232" s="1">
        <v>0</v>
      </c>
      <c r="U232" s="1">
        <f>T232+S232</f>
        <v>0</v>
      </c>
      <c r="V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</row>
    <row r="233" spans="1:30">
      <c r="A233" s="1" t="s">
        <v>411</v>
      </c>
      <c r="B233" s="1" t="s">
        <v>412</v>
      </c>
      <c r="C233" s="1">
        <f>(AD233+AC233)*R233</f>
        <v>0</v>
      </c>
      <c r="K233" s="1">
        <f>IF(F233*(H233+J233)*(G233+I233+J233)&gt;0,1,0)</f>
        <v>0</v>
      </c>
      <c r="L233" s="1">
        <f>SUM(M233:Q233)</f>
        <v>1</v>
      </c>
      <c r="M233" s="1">
        <v>1</v>
      </c>
      <c r="N233" s="1">
        <v>0</v>
      </c>
      <c r="O233" s="1">
        <v>0</v>
      </c>
      <c r="R233" s="1">
        <f>IF(L233&gt;=3, 1, 0)</f>
        <v>0</v>
      </c>
      <c r="S233" s="1">
        <v>0</v>
      </c>
      <c r="T233" s="1">
        <v>0</v>
      </c>
      <c r="U233" s="1">
        <f>T233+S233</f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</row>
    <row r="234" spans="1:30">
      <c r="A234" s="1" t="s">
        <v>417</v>
      </c>
      <c r="B234" s="1" t="s">
        <v>418</v>
      </c>
      <c r="C234" s="1">
        <f>(AD234+AC234)*R234</f>
        <v>0</v>
      </c>
      <c r="K234" s="1">
        <f>IF(F234*(H234+J234)*(G234+I234+J234)&gt;0,1,0)</f>
        <v>0</v>
      </c>
      <c r="L234" s="1">
        <f>SUM(M234:Q234)</f>
        <v>2</v>
      </c>
      <c r="M234" s="1">
        <v>0</v>
      </c>
      <c r="N234" s="1">
        <v>1</v>
      </c>
      <c r="O234" s="1">
        <v>1</v>
      </c>
      <c r="R234" s="1">
        <f>IF(L234&gt;=3, 1, 0)</f>
        <v>0</v>
      </c>
      <c r="S234" s="1">
        <v>0</v>
      </c>
      <c r="T234" s="1">
        <v>0</v>
      </c>
      <c r="U234" s="1">
        <f>T234+S234</f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</row>
    <row r="235" spans="1:30">
      <c r="A235" s="1" t="s">
        <v>461</v>
      </c>
      <c r="B235" s="1" t="s">
        <v>462</v>
      </c>
      <c r="C235" s="1">
        <f>(AD235+AC235)*R235</f>
        <v>0</v>
      </c>
      <c r="K235" s="1">
        <f>IF(F235*(H235+J235)*(G235+I235+J235)&gt;0,1,0)</f>
        <v>0</v>
      </c>
      <c r="L235" s="1">
        <f>SUM(M235:Q235)</f>
        <v>1</v>
      </c>
      <c r="M235" s="1">
        <v>0</v>
      </c>
      <c r="N235" s="1">
        <v>0</v>
      </c>
      <c r="O235" s="1">
        <v>1</v>
      </c>
      <c r="R235" s="1">
        <f>IF(L235&gt;=3, 1, 0)</f>
        <v>0</v>
      </c>
      <c r="S235" s="1">
        <v>0</v>
      </c>
      <c r="T235" s="1">
        <v>0</v>
      </c>
      <c r="U235" s="1">
        <f>T235+S235</f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</row>
    <row r="236" spans="1:30">
      <c r="A236" s="1" t="s">
        <v>321</v>
      </c>
      <c r="B236" s="1" t="s">
        <v>322</v>
      </c>
      <c r="C236" s="1">
        <f>(AD236+AC236)*R236</f>
        <v>0</v>
      </c>
      <c r="K236" s="1">
        <f>IF(F236*(H236+J236)*(G236+I236+J236)&gt;0,1,0)</f>
        <v>0</v>
      </c>
      <c r="L236" s="1">
        <f>SUM(M236:Q236)</f>
        <v>0</v>
      </c>
      <c r="M236" s="1">
        <v>0</v>
      </c>
      <c r="N236" s="1">
        <v>0</v>
      </c>
      <c r="O236" s="1">
        <v>0</v>
      </c>
      <c r="R236" s="1">
        <f>IF(L236&gt;=3, 1, 0)</f>
        <v>0</v>
      </c>
      <c r="S236" s="1">
        <v>0</v>
      </c>
      <c r="T236" s="1">
        <v>0</v>
      </c>
      <c r="U236" s="1">
        <f>T236+S236</f>
        <v>0</v>
      </c>
      <c r="V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</row>
    <row r="237" spans="1:30">
      <c r="A237" s="1" t="s">
        <v>413</v>
      </c>
      <c r="B237" s="1" t="s">
        <v>414</v>
      </c>
      <c r="C237" s="1">
        <f>(AD237+AC237)*R237</f>
        <v>0</v>
      </c>
      <c r="K237" s="1">
        <f>IF(F237*(H237+J237)*(G237+I237+J237)&gt;0,1,0)</f>
        <v>0</v>
      </c>
      <c r="L237" s="1">
        <f>SUM(M237:Q237)</f>
        <v>1</v>
      </c>
      <c r="M237" s="1">
        <v>1</v>
      </c>
      <c r="N237" s="1">
        <v>0</v>
      </c>
      <c r="O237" s="1">
        <v>0</v>
      </c>
      <c r="R237" s="1">
        <f>IF(L237&gt;=3, 1, 0)</f>
        <v>0</v>
      </c>
      <c r="S237" s="1">
        <v>0</v>
      </c>
      <c r="T237" s="1">
        <v>0</v>
      </c>
      <c r="U237" s="1">
        <f>T237+S237</f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</row>
    <row r="238" spans="1:30">
      <c r="A238" s="1" t="s">
        <v>463</v>
      </c>
      <c r="B238" s="1" t="s">
        <v>464</v>
      </c>
      <c r="C238" s="1">
        <f>(AD238+AC238)*R238</f>
        <v>0</v>
      </c>
      <c r="K238" s="1">
        <f>IF(F238*(H238+J238)*(G238+I238+J238)&gt;0,1,0)</f>
        <v>0</v>
      </c>
      <c r="L238" s="1">
        <f>SUM(M238:Q238)</f>
        <v>1</v>
      </c>
      <c r="M238" s="1">
        <v>0</v>
      </c>
      <c r="N238" s="1">
        <v>0</v>
      </c>
      <c r="O238" s="1">
        <v>1</v>
      </c>
      <c r="R238" s="1">
        <f>IF(L238&gt;=3, 1, 0)</f>
        <v>0</v>
      </c>
      <c r="S238" s="1">
        <v>0</v>
      </c>
      <c r="T238" s="1">
        <v>0</v>
      </c>
      <c r="U238" s="1">
        <f>T238+S238</f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</row>
    <row r="239" spans="1:30">
      <c r="A239" s="1" t="s">
        <v>477</v>
      </c>
      <c r="B239" s="1" t="s">
        <v>478</v>
      </c>
      <c r="C239" s="1">
        <f>(AD239+AC239)*R239</f>
        <v>0</v>
      </c>
      <c r="K239" s="1">
        <f>IF(F239*(H239+J239)*(G239+I239+J239)&gt;0,1,0)</f>
        <v>0</v>
      </c>
      <c r="L239" s="1">
        <f>SUM(M239:Q239)</f>
        <v>1</v>
      </c>
      <c r="M239" s="1">
        <v>0</v>
      </c>
      <c r="N239" s="1">
        <v>0</v>
      </c>
      <c r="O239" s="1">
        <v>1</v>
      </c>
      <c r="R239" s="1">
        <f>IF(L239&gt;=3, 1, 0)</f>
        <v>0</v>
      </c>
      <c r="S239" s="1">
        <v>0</v>
      </c>
      <c r="T239" s="1">
        <v>0</v>
      </c>
      <c r="U239" s="1">
        <f>T239+S239</f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</row>
    <row r="240" spans="1:30">
      <c r="A240" s="1" t="s">
        <v>333</v>
      </c>
      <c r="B240" s="1" t="s">
        <v>334</v>
      </c>
      <c r="C240" s="1">
        <f>(AD240+AC240)*R240</f>
        <v>0</v>
      </c>
      <c r="K240" s="1">
        <f>IF(F240*(H240+J240)*(G240+I240+J240)&gt;0,1,0)</f>
        <v>0</v>
      </c>
      <c r="L240" s="1">
        <f>SUM(M240:Q240)</f>
        <v>0</v>
      </c>
      <c r="M240" s="1">
        <v>0</v>
      </c>
      <c r="N240" s="1">
        <v>0</v>
      </c>
      <c r="O240" s="1">
        <v>0</v>
      </c>
      <c r="R240" s="1">
        <f>IF(L240&gt;=3, 1, 0)</f>
        <v>0</v>
      </c>
      <c r="S240" s="1">
        <v>0</v>
      </c>
      <c r="T240" s="1">
        <v>0</v>
      </c>
      <c r="U240" s="1">
        <f>T240+S240</f>
        <v>0</v>
      </c>
      <c r="V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</row>
    <row r="241" spans="1:31">
      <c r="A241" s="1" t="s">
        <v>419</v>
      </c>
      <c r="B241" s="1" t="s">
        <v>420</v>
      </c>
      <c r="C241" s="1">
        <f>(AD241+AC241)*R241</f>
        <v>0</v>
      </c>
      <c r="K241" s="1">
        <f>IF(F241*(H241+J241)*(G241+I241+J241)&gt;0,1,0)</f>
        <v>0</v>
      </c>
      <c r="L241" s="1">
        <f>SUM(M241:Q241)</f>
        <v>1</v>
      </c>
      <c r="M241" s="1">
        <v>1</v>
      </c>
      <c r="N241" s="1">
        <v>0</v>
      </c>
      <c r="O241" s="1">
        <v>0</v>
      </c>
      <c r="R241" s="1">
        <f>IF(L241&gt;=3, 1, 0)</f>
        <v>0</v>
      </c>
      <c r="S241" s="1">
        <v>0</v>
      </c>
      <c r="T241" s="1">
        <v>0</v>
      </c>
      <c r="U241" s="1">
        <f>T241+S241</f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</row>
    <row r="242" spans="1:31">
      <c r="A242" s="1" t="s">
        <v>421</v>
      </c>
      <c r="B242" s="1" t="s">
        <v>422</v>
      </c>
      <c r="C242" s="1">
        <f>(AD242+AC242)*R242</f>
        <v>0</v>
      </c>
      <c r="K242" s="1">
        <f>IF(F242*(H242+J242)*(G242+I242+J242)&gt;0,1,0)</f>
        <v>0</v>
      </c>
      <c r="L242" s="1">
        <f>SUM(M242:Q242)</f>
        <v>3</v>
      </c>
      <c r="M242" s="1">
        <v>1</v>
      </c>
      <c r="N242" s="1">
        <v>0</v>
      </c>
      <c r="O242" s="1">
        <v>0</v>
      </c>
      <c r="Q242" s="1">
        <v>2</v>
      </c>
      <c r="R242" s="1">
        <f>IF(L242&gt;=3, 1, 0)</f>
        <v>1</v>
      </c>
      <c r="S242" s="1">
        <v>0</v>
      </c>
      <c r="T242" s="1">
        <v>0</v>
      </c>
      <c r="U242" s="1">
        <f>T242+S242</f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</row>
    <row r="243" spans="1:31">
      <c r="A243" s="1" t="s">
        <v>475</v>
      </c>
      <c r="B243" s="1" t="s">
        <v>476</v>
      </c>
      <c r="C243" s="1">
        <f>(AD243+AC243)*R243</f>
        <v>0</v>
      </c>
      <c r="K243" s="1">
        <f>IF(F243*(H243+J243)*(G243+I243+J243)&gt;0,1,0)</f>
        <v>0</v>
      </c>
      <c r="L243" s="1">
        <f>SUM(M243:Q243)</f>
        <v>1</v>
      </c>
      <c r="M243" s="1">
        <v>0</v>
      </c>
      <c r="N243" s="1">
        <v>0</v>
      </c>
      <c r="O243" s="1">
        <v>1</v>
      </c>
      <c r="R243" s="1">
        <f>IF(L243&gt;=3, 1, 0)</f>
        <v>0</v>
      </c>
      <c r="S243" s="1">
        <v>0</v>
      </c>
      <c r="T243" s="1">
        <v>0</v>
      </c>
      <c r="U243" s="1">
        <f>T243+S243</f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</row>
    <row r="244" spans="1:31">
      <c r="A244" s="1" t="s">
        <v>423</v>
      </c>
      <c r="B244" s="1" t="s">
        <v>424</v>
      </c>
      <c r="C244" s="1">
        <f>(AD244+AC244)*R244</f>
        <v>0</v>
      </c>
      <c r="K244" s="1">
        <f>IF(F244*(H244+J244)*(G244+I244+J244)&gt;0,1,0)</f>
        <v>0</v>
      </c>
      <c r="L244" s="1">
        <f>SUM(M244:Q244)</f>
        <v>3</v>
      </c>
      <c r="M244" s="1">
        <v>0</v>
      </c>
      <c r="N244" s="1">
        <v>1</v>
      </c>
      <c r="O244" s="1">
        <v>0</v>
      </c>
      <c r="Q244" s="1">
        <v>2</v>
      </c>
      <c r="R244" s="1">
        <f>IF(L244&gt;=3, 1, 0)</f>
        <v>1</v>
      </c>
      <c r="S244" s="1">
        <v>0</v>
      </c>
      <c r="T244" s="1">
        <v>0</v>
      </c>
      <c r="U244" s="1">
        <f>T244+S244</f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</row>
    <row r="245" spans="1:31">
      <c r="A245" s="1" t="s">
        <v>447</v>
      </c>
      <c r="B245" s="1" t="s">
        <v>448</v>
      </c>
      <c r="C245" s="1">
        <f>(AD245+AC245)*R245</f>
        <v>0</v>
      </c>
      <c r="K245" s="1">
        <f>IF(F245*(H245+J245)*(G245+I245+J245)&gt;0,1,0)</f>
        <v>0</v>
      </c>
      <c r="L245" s="1">
        <f>SUM(M245:Q245)</f>
        <v>1</v>
      </c>
      <c r="M245" s="1">
        <v>0</v>
      </c>
      <c r="N245" s="1">
        <v>0</v>
      </c>
      <c r="O245" s="1">
        <v>1</v>
      </c>
      <c r="R245" s="1">
        <f>IF(L245&gt;=3, 1, 0)</f>
        <v>0</v>
      </c>
      <c r="S245" s="1">
        <v>0</v>
      </c>
      <c r="T245" s="1">
        <v>0</v>
      </c>
      <c r="U245" s="1">
        <f>T245+S245</f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</row>
    <row r="246" spans="1:31">
      <c r="A246" s="1" t="s">
        <v>425</v>
      </c>
      <c r="B246" s="1" t="s">
        <v>426</v>
      </c>
      <c r="C246" s="1">
        <f>(AD246+AC246)*R246</f>
        <v>0</v>
      </c>
      <c r="K246" s="1">
        <f>IF(F246*(H246+J246)*(G246+I246+J246)&gt;0,1,0)</f>
        <v>0</v>
      </c>
      <c r="L246" s="1">
        <f>SUM(M246:Q246)</f>
        <v>1</v>
      </c>
      <c r="M246" s="1">
        <v>1</v>
      </c>
      <c r="N246" s="1">
        <v>0</v>
      </c>
      <c r="O246" s="1">
        <v>0</v>
      </c>
      <c r="R246" s="1">
        <f>IF(L246&gt;=3, 1, 0)</f>
        <v>0</v>
      </c>
      <c r="S246" s="1">
        <v>0</v>
      </c>
      <c r="T246" s="1">
        <v>0</v>
      </c>
      <c r="U246" s="1">
        <f>T246+S246</f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</row>
    <row r="247" spans="1:31">
      <c r="A247" s="1" t="s">
        <v>337</v>
      </c>
      <c r="B247" s="1" t="s">
        <v>337</v>
      </c>
      <c r="C247" s="1">
        <f>(AD247+AC247)*R247</f>
        <v>0</v>
      </c>
      <c r="K247" s="1">
        <f>IF(F247*(H247+J247)*(G247+I247+J247)&gt;0,1,0)</f>
        <v>0</v>
      </c>
      <c r="L247" s="1">
        <f>SUM(M247:Q247)</f>
        <v>1</v>
      </c>
      <c r="M247" s="1">
        <v>1</v>
      </c>
      <c r="N247" s="1">
        <v>0</v>
      </c>
      <c r="O247" s="1">
        <v>0</v>
      </c>
      <c r="R247" s="1">
        <f>IF(L247&gt;=3, 1, 0)</f>
        <v>0</v>
      </c>
      <c r="S247" s="1">
        <v>0</v>
      </c>
      <c r="T247" s="1">
        <v>0</v>
      </c>
      <c r="U247" s="1">
        <f>T247+S247</f>
        <v>0</v>
      </c>
      <c r="V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</row>
    <row r="248" spans="1:31">
      <c r="A248" s="1" t="s">
        <v>427</v>
      </c>
      <c r="B248" s="1" t="s">
        <v>428</v>
      </c>
      <c r="C248" s="1">
        <f>(AD248+AC248)*R248</f>
        <v>0</v>
      </c>
      <c r="K248" s="1">
        <f>IF(F248*(H248+J248)*(G248+I248+J248)&gt;0,1,0)</f>
        <v>0</v>
      </c>
      <c r="L248" s="1">
        <f>SUM(M248:Q248)</f>
        <v>1</v>
      </c>
      <c r="M248" s="1">
        <v>0</v>
      </c>
      <c r="N248" s="1">
        <v>1</v>
      </c>
      <c r="O248" s="1">
        <v>0</v>
      </c>
      <c r="R248" s="1">
        <f>IF(L248&gt;=3, 1, 0)</f>
        <v>0</v>
      </c>
      <c r="S248" s="1">
        <v>0</v>
      </c>
      <c r="T248" s="1">
        <v>0</v>
      </c>
      <c r="U248" s="1">
        <f>T248+S248</f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/>
    </row>
    <row r="249" spans="1:31">
      <c r="A249" s="1" t="s">
        <v>331</v>
      </c>
      <c r="B249" s="1" t="s">
        <v>332</v>
      </c>
      <c r="C249" s="1">
        <f>(AD249+AC249)*R249</f>
        <v>0</v>
      </c>
      <c r="K249" s="1">
        <f>IF(F249*(H249+J249)*(G249+I249+J249)&gt;0,1,0)</f>
        <v>0</v>
      </c>
      <c r="L249" s="1">
        <f>SUM(M249:Q249)</f>
        <v>0</v>
      </c>
      <c r="M249" s="1">
        <v>0</v>
      </c>
      <c r="N249" s="1">
        <v>0</v>
      </c>
      <c r="O249" s="1">
        <v>0</v>
      </c>
      <c r="R249" s="1">
        <f>IF(L249&gt;=3, 1, 0)</f>
        <v>0</v>
      </c>
      <c r="S249" s="1">
        <v>0</v>
      </c>
      <c r="T249" s="1">
        <v>0</v>
      </c>
      <c r="U249" s="1">
        <f>T249+S249</f>
        <v>0</v>
      </c>
      <c r="V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</row>
    <row r="250" spans="1:31">
      <c r="A250" s="1" t="s">
        <v>445</v>
      </c>
      <c r="B250" s="1" t="s">
        <v>446</v>
      </c>
      <c r="C250" s="1">
        <f>(AD250+AC250)*R250</f>
        <v>0</v>
      </c>
      <c r="K250" s="1">
        <f>IF(F250*(H250+J250)*(G250+I250+J250)&gt;0,1,0)</f>
        <v>0</v>
      </c>
      <c r="L250" s="1">
        <f>SUM(M250:Q250)</f>
        <v>1</v>
      </c>
      <c r="M250" s="1">
        <v>0</v>
      </c>
      <c r="N250" s="1">
        <v>0</v>
      </c>
      <c r="O250" s="1">
        <v>1</v>
      </c>
      <c r="R250" s="1">
        <f>IF(L250&gt;=3, 1, 0)</f>
        <v>0</v>
      </c>
      <c r="S250" s="1">
        <v>0</v>
      </c>
      <c r="T250" s="1">
        <v>0</v>
      </c>
      <c r="U250" s="1">
        <f>T250+S250</f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</row>
    <row r="251" spans="1:31">
      <c r="A251" s="1" t="s">
        <v>509</v>
      </c>
      <c r="B251" s="1" t="s">
        <v>510</v>
      </c>
      <c r="C251" s="1">
        <f>(AD251+AC251)*R251</f>
        <v>0</v>
      </c>
      <c r="K251" s="1">
        <f>IF(F251*(H251+J251)*(G251+I251+J251)&gt;0,1,0)</f>
        <v>0</v>
      </c>
      <c r="L251" s="1">
        <f>SUM(M251:Q251)</f>
        <v>2</v>
      </c>
      <c r="M251" s="1">
        <v>0</v>
      </c>
      <c r="N251" s="1">
        <v>0</v>
      </c>
      <c r="O251" s="1">
        <v>0</v>
      </c>
      <c r="Q251" s="1">
        <v>2</v>
      </c>
      <c r="R251" s="1">
        <f>IF(L251&gt;=3, 1, 0)</f>
        <v>0</v>
      </c>
      <c r="S251" s="1">
        <v>0</v>
      </c>
      <c r="T251" s="1">
        <v>0</v>
      </c>
      <c r="U251" s="1">
        <f>T251+S251</f>
        <v>0</v>
      </c>
      <c r="V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</row>
    <row r="252" spans="1:31">
      <c r="A252" s="1" t="s">
        <v>520</v>
      </c>
      <c r="B252" s="1" t="s">
        <v>521</v>
      </c>
      <c r="C252" s="1">
        <f>(AD252+AC252)*R252</f>
        <v>0</v>
      </c>
      <c r="H252" s="1">
        <v>1</v>
      </c>
      <c r="I252" s="1">
        <v>0</v>
      </c>
      <c r="K252" s="1">
        <f>IF(F252*(H252+J252)*(G252+I252+J252)&gt;0,1,0)</f>
        <v>0</v>
      </c>
      <c r="L252" s="1">
        <f>SUM(M252:Q252)</f>
        <v>0</v>
      </c>
      <c r="M252" s="1">
        <v>0</v>
      </c>
      <c r="N252" s="1">
        <v>0</v>
      </c>
      <c r="O252" s="1">
        <v>0</v>
      </c>
      <c r="R252" s="1">
        <f>IF(L252&gt;=3, 1, 0)</f>
        <v>0</v>
      </c>
      <c r="S252" s="1">
        <v>0</v>
      </c>
      <c r="T252" s="1">
        <v>0</v>
      </c>
      <c r="U252" s="1">
        <f>T252+S252</f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</row>
  </sheetData>
  <sortState xmlns:xlrd2="http://schemas.microsoft.com/office/spreadsheetml/2017/richdata2" ref="A61:AD252">
    <sortCondition descending="1" ref="K64:K252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pkuzhd@pku.edu.cn</dc:creator>
  <cp:lastModifiedBy>pkuzhd@pku.edu.cn</cp:lastModifiedBy>
  <dcterms:created xsi:type="dcterms:W3CDTF">2024-05-02T13:40:44Z</dcterms:created>
  <dcterms:modified xsi:type="dcterms:W3CDTF">2024-05-23T14:22:01Z</dcterms:modified>
</cp:coreProperties>
</file>