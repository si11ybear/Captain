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EB23FDA-18FB-4370-8E2D-3FB9225D4626}" xr6:coauthVersionLast="47" xr6:coauthVersionMax="47" xr10:uidLastSave="{00000000-0000-0000-0000-000000000000}"/>
  <bookViews>
    <workbookView xWindow="-110" yWindow="-110" windowWidth="25820" windowHeight="15500" xr2:uid="{BAF7AE00-5C58-4379-BFAD-90F1B8A97CB4}"/>
  </bookViews>
  <sheets>
    <sheet name="Sheet2" sheetId="2" r:id="rId1"/>
    <sheet name="Sheet1" sheetId="1" r:id="rId2"/>
  </sheets>
  <definedNames>
    <definedName name="_xlnm._FilterDatabase" localSheetId="1" hidden="1">Sheet1!$A$1:$AC$46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2" l="1"/>
  <c r="C17" i="2"/>
  <c r="A17" i="2"/>
  <c r="K17" i="2"/>
  <c r="K50" i="2"/>
  <c r="K34" i="2"/>
  <c r="J34" i="2"/>
  <c r="L34" i="2"/>
  <c r="M34" i="2"/>
  <c r="N34" i="2"/>
  <c r="O34" i="2"/>
  <c r="P34" i="2"/>
  <c r="Q34" i="2"/>
  <c r="R34" i="2"/>
  <c r="S34" i="2"/>
  <c r="T34" i="2"/>
  <c r="U34" i="2"/>
  <c r="V34" i="2"/>
  <c r="W34" i="2"/>
  <c r="I34" i="2"/>
  <c r="D35" i="2"/>
  <c r="D34" i="2"/>
  <c r="J17" i="2"/>
  <c r="L17" i="2"/>
  <c r="M17" i="2"/>
  <c r="N17" i="2"/>
  <c r="O17" i="2"/>
  <c r="P17" i="2"/>
  <c r="Q17" i="2"/>
  <c r="R17" i="2"/>
  <c r="S17" i="2"/>
  <c r="T17" i="2"/>
  <c r="U17" i="2"/>
  <c r="V17" i="2"/>
  <c r="W17" i="2"/>
  <c r="I17" i="2"/>
  <c r="D17" i="2"/>
  <c r="P50" i="2"/>
  <c r="D47" i="1"/>
  <c r="D48" i="1" s="1"/>
  <c r="D51" i="2"/>
  <c r="D50" i="2"/>
  <c r="B50" i="2"/>
  <c r="C50" i="2"/>
  <c r="E50" i="2"/>
  <c r="F50" i="2"/>
  <c r="G50" i="2"/>
  <c r="H50" i="2"/>
  <c r="I50" i="2"/>
  <c r="J50" i="2"/>
  <c r="L50" i="2"/>
  <c r="M50" i="2"/>
  <c r="N50" i="2"/>
  <c r="O50" i="2"/>
  <c r="Q50" i="2"/>
  <c r="R50" i="2"/>
  <c r="S50" i="2"/>
  <c r="T50" i="2"/>
  <c r="U50" i="2"/>
  <c r="V50" i="2"/>
  <c r="W50" i="2"/>
  <c r="A50" i="2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J47" i="1"/>
  <c r="A34" i="2"/>
  <c r="B34" i="2"/>
  <c r="G17" i="2"/>
  <c r="F17" i="2"/>
  <c r="B17" i="2"/>
  <c r="D18" i="2"/>
  <c r="E17" i="2"/>
  <c r="G34" i="2"/>
  <c r="H34" i="2"/>
  <c r="E34" i="2"/>
  <c r="F34" i="2"/>
  <c r="H17" i="2"/>
</calcChain>
</file>

<file path=xl/sharedStrings.xml><?xml version="1.0" encoding="utf-8"?>
<sst xmlns="http://schemas.openxmlformats.org/spreadsheetml/2006/main" count="864" uniqueCount="321">
  <si>
    <t>序号</t>
  </si>
  <si>
    <t>1、基本信息：—姓名：</t>
  </si>
  <si>
    <t>1、ID：</t>
  </si>
  <si>
    <t>1、性别</t>
  </si>
  <si>
    <t>1、微信号（以wxid开头的微信号无法添加好友，请更改微信号或使用微信绑定的手机号填写微信号）：</t>
  </si>
  <si>
    <t>1、手机号：</t>
  </si>
  <si>
    <t>1、学号：</t>
  </si>
  <si>
    <t>1、院系（请写全称）：</t>
  </si>
  <si>
    <t>1、年级（如20本/研）：</t>
  </si>
  <si>
    <t>2、报名资格(参加过一次24春训拉练（含前站）（包括蟒山、潭柘寺、黑分解和相应前站）)</t>
  </si>
  <si>
    <t>3、报名的组别（为方便分组，请大家尽可能多选时间）。(A组 4月20日-4月21日)</t>
  </si>
  <si>
    <t>3、(B组 4月28日-4月29日)</t>
  </si>
  <si>
    <t>6、其他想说的话</t>
  </si>
  <si>
    <t>王越千</t>
  </si>
  <si>
    <t>黄杨</t>
  </si>
  <si>
    <t>男</t>
  </si>
  <si>
    <t>tom2217944785</t>
  </si>
  <si>
    <t>15811443328</t>
  </si>
  <si>
    <t>智能学院</t>
  </si>
  <si>
    <t>21博</t>
  </si>
  <si>
    <t>虽然去过白河但是不介意再去一次（</t>
  </si>
  <si>
    <t>李昱麒</t>
  </si>
  <si>
    <t>Ricky</t>
  </si>
  <si>
    <t>q2976508717</t>
  </si>
  <si>
    <t>18049083283</t>
  </si>
  <si>
    <t>2200011313</t>
  </si>
  <si>
    <t>物理学院</t>
  </si>
  <si>
    <t>22本</t>
  </si>
  <si>
    <t>去过南石洋了qwq</t>
  </si>
  <si>
    <t>高荣淦</t>
  </si>
  <si>
    <t>诺有缸</t>
  </si>
  <si>
    <t>SallyChips</t>
  </si>
  <si>
    <t>18214658669</t>
  </si>
  <si>
    <t>2310301242</t>
  </si>
  <si>
    <t>基础医学院</t>
  </si>
  <si>
    <t>23本</t>
  </si>
  <si>
    <t>虽然我没有砖（菜菜），但是我很想去</t>
  </si>
  <si>
    <t>张道文</t>
  </si>
  <si>
    <t>问道</t>
  </si>
  <si>
    <t>Ss2632562924</t>
  </si>
  <si>
    <t>17350575312</t>
  </si>
  <si>
    <t>2300013717</t>
  </si>
  <si>
    <t>心理认知与科学学院</t>
  </si>
  <si>
    <t>是谁带队呀</t>
  </si>
  <si>
    <t>王予墨</t>
  </si>
  <si>
    <t>踏月</t>
  </si>
  <si>
    <t>女</t>
  </si>
  <si>
    <t>Ｗym15690446687</t>
  </si>
  <si>
    <t>15690446687</t>
  </si>
  <si>
    <t>2300014218</t>
  </si>
  <si>
    <t>中国语言文学系</t>
  </si>
  <si>
    <t>文体部辛苦了</t>
  </si>
  <si>
    <t>谢星宇</t>
  </si>
  <si>
    <t>小星球</t>
  </si>
  <si>
    <t>xxyfromMars</t>
  </si>
  <si>
    <t>13328931626</t>
  </si>
  <si>
    <t>第一临床医学院</t>
  </si>
  <si>
    <t>19本</t>
  </si>
  <si>
    <t>去过21双日白河，22三日十渡</t>
  </si>
  <si>
    <t>杨博皓·</t>
  </si>
  <si>
    <t>鲸岛</t>
  </si>
  <si>
    <t>qaz123wsxedcrfv10</t>
  </si>
  <si>
    <t>15638971997</t>
  </si>
  <si>
    <t>2210306225</t>
  </si>
  <si>
    <t>公共卫生学院</t>
  </si>
  <si>
    <t>去过官厅啦，想换个地方呢</t>
  </si>
  <si>
    <t>李蒋一</t>
  </si>
  <si>
    <t>温瑶</t>
  </si>
  <si>
    <t>jlshe80</t>
  </si>
  <si>
    <t>13199118335</t>
  </si>
  <si>
    <t>2300011182</t>
  </si>
  <si>
    <t>工学院</t>
  </si>
  <si>
    <t>大家加油！
我也加油！</t>
  </si>
  <si>
    <t>谢子瑜</t>
  </si>
  <si>
    <t>非鱼</t>
  </si>
  <si>
    <t>Zerus_care</t>
  </si>
  <si>
    <t>18812717033</t>
  </si>
  <si>
    <t>2301211602</t>
  </si>
  <si>
    <t>法学院</t>
  </si>
  <si>
    <t>23研</t>
  </si>
  <si>
    <t>暑期！！</t>
  </si>
  <si>
    <t>赵小瑶</t>
  </si>
  <si>
    <t>月饼咸</t>
  </si>
  <si>
    <t>zxydesu_wexid_1155665</t>
  </si>
  <si>
    <t>18716164395</t>
  </si>
  <si>
    <t>2310301144</t>
  </si>
  <si>
    <t>临床（基础）医学院</t>
  </si>
  <si>
    <t>(空)</t>
  </si>
  <si>
    <t>鄢奕昭</t>
  </si>
  <si>
    <t>小仓鼠</t>
  </si>
  <si>
    <t>someenol1223</t>
  </si>
  <si>
    <t>13886638438</t>
  </si>
  <si>
    <t>2300011767</t>
  </si>
  <si>
    <t>北京大学化学与分子工程学院</t>
  </si>
  <si>
    <t>想去双日！想当队医负责qwq！</t>
  </si>
  <si>
    <t>何维</t>
  </si>
  <si>
    <t>劳模</t>
  </si>
  <si>
    <t>hw1628597357</t>
  </si>
  <si>
    <t>18800162205</t>
  </si>
  <si>
    <t>信息科学技术学院</t>
  </si>
  <si>
    <t>20本</t>
  </si>
  <si>
    <t>ab均可，尽量a
去过白河且十分不想再去</t>
  </si>
  <si>
    <t>王玮</t>
  </si>
  <si>
    <t>栖风</t>
  </si>
  <si>
    <t>chestnut_wv</t>
  </si>
  <si>
    <t>18536557776</t>
  </si>
  <si>
    <t>前沿交叉学科研究院</t>
  </si>
  <si>
    <t>20硕</t>
  </si>
  <si>
    <t>去过21琉璃庙，22十渡，23官厅，如果可以的话不太想去十渡/官厅/南石洋了，但是如果分不开的话也没关系♪( ´▽｀) 文体部辛苦啦！今年可真不容易，多休息qwq</t>
  </si>
  <si>
    <t>药学院</t>
  </si>
  <si>
    <t>化学与分子工程学院</t>
  </si>
  <si>
    <t>翟宇航</t>
  </si>
  <si>
    <t>依古比古</t>
  </si>
  <si>
    <t>z18302459979</t>
  </si>
  <si>
    <t>18302459979</t>
  </si>
  <si>
    <t>2310306231</t>
  </si>
  <si>
    <t>在潭柘寺静候心愿发芽生花</t>
  </si>
  <si>
    <t>赵泽奇</t>
  </si>
  <si>
    <t>三改火</t>
  </si>
  <si>
    <t>zzq1695789162</t>
  </si>
  <si>
    <t>18034368530</t>
  </si>
  <si>
    <t>2200011011</t>
  </si>
  <si>
    <t>时间AB均可，尽量B组
辛苦啦！</t>
  </si>
  <si>
    <t>王翊冰</t>
  </si>
  <si>
    <t>林晓</t>
  </si>
  <si>
    <t>rigolettoirenia</t>
  </si>
  <si>
    <t>15202919846</t>
  </si>
  <si>
    <t>2200011730</t>
  </si>
  <si>
    <t>之前去过南石洋与官厅一线，也去过白河一线，如果有别的最好啦！</t>
  </si>
  <si>
    <t>郭奕凯</t>
  </si>
  <si>
    <t>郭导</t>
  </si>
  <si>
    <t>G18905951660</t>
  </si>
  <si>
    <t>18905951660</t>
  </si>
  <si>
    <t>2200017488</t>
  </si>
  <si>
    <t>元培学院</t>
  </si>
  <si>
    <t>郭盈诺</t>
  </si>
  <si>
    <t>几木</t>
  </si>
  <si>
    <t>ddemma</t>
  </si>
  <si>
    <t>16604157666</t>
  </si>
  <si>
    <t>2310305209</t>
  </si>
  <si>
    <t/>
  </si>
  <si>
    <t>如果能是B组就更好啦！（A组的时间不确定能不能完成一些ddl......要是被分配到A组的话其实也没有关系啦)
希望玩得开心！希望能过春训去暑期！</t>
  </si>
  <si>
    <t>潘美洁</t>
  </si>
  <si>
    <t>牛筋丸（之前的id carabiner 参加过潭柘寺）</t>
  </si>
  <si>
    <t>Carabiner6210</t>
  </si>
  <si>
    <t>18810917522</t>
  </si>
  <si>
    <t>17药学本 21药学硕</t>
  </si>
  <si>
    <t>许文灏</t>
  </si>
  <si>
    <t>炒饼饼</t>
  </si>
  <si>
    <t>xuwenhao0913</t>
  </si>
  <si>
    <t>13521909187</t>
  </si>
  <si>
    <t>22研</t>
  </si>
  <si>
    <t>我是新会员&gt; ＜</t>
  </si>
  <si>
    <t>唐睿程</t>
  </si>
  <si>
    <t>卡拜</t>
  </si>
  <si>
    <t>CreeperBatter</t>
  </si>
  <si>
    <t>18973401871</t>
  </si>
  <si>
    <t>2300011744</t>
  </si>
  <si>
    <t>我要去双日！</t>
  </si>
  <si>
    <t>古明阳</t>
  </si>
  <si>
    <t>十月</t>
  </si>
  <si>
    <t>lucky403446709</t>
  </si>
  <si>
    <t>15320499877</t>
  </si>
  <si>
    <t>2300012723</t>
  </si>
  <si>
    <t>新人求带qwq</t>
  </si>
  <si>
    <t>王瑞辰</t>
  </si>
  <si>
    <t>blackchen</t>
  </si>
  <si>
    <t>13641687459</t>
  </si>
  <si>
    <t>数学科学学院</t>
  </si>
  <si>
    <t>期待能在双日之前考过押后和队医！</t>
  </si>
  <si>
    <t>张祺</t>
  </si>
  <si>
    <t>明非</t>
  </si>
  <si>
    <t>18811730275</t>
  </si>
  <si>
    <t>21研</t>
  </si>
  <si>
    <t>去过十渡南石洋琉璃庙白河</t>
  </si>
  <si>
    <t>徐艺峰</t>
  </si>
  <si>
    <t>Tom</t>
  </si>
  <si>
    <t>chem_xyf</t>
  </si>
  <si>
    <t>18910021757</t>
  </si>
  <si>
    <t>2300011852</t>
  </si>
  <si>
    <t>双日A组可能报的人比较少（因为是在普通的周末），可以B组多分一些人吗……（我想去B组远大于想去A组qaq）</t>
  </si>
  <si>
    <t>黄天宏</t>
  </si>
  <si>
    <t>冰苎</t>
  </si>
  <si>
    <t>a2490872451</t>
  </si>
  <si>
    <t>19933788809</t>
  </si>
  <si>
    <t>2200011853</t>
  </si>
  <si>
    <t>去过官厅和白河</t>
  </si>
  <si>
    <t>刘庆航</t>
  </si>
  <si>
    <t>橘猫</t>
  </si>
  <si>
    <t>Jerry_Liu_Cn</t>
  </si>
  <si>
    <t>18159909817</t>
  </si>
  <si>
    <t>2200011093</t>
  </si>
  <si>
    <t>柯喾</t>
  </si>
  <si>
    <t>南有乔木</t>
  </si>
  <si>
    <t>karvanate_kirqoe</t>
  </si>
  <si>
    <t>15216602135</t>
  </si>
  <si>
    <t>2300011058</t>
  </si>
  <si>
    <t>双日顺利！</t>
  </si>
  <si>
    <t>王绍华</t>
  </si>
  <si>
    <t>红枫</t>
  </si>
  <si>
    <t>13121059100</t>
  </si>
  <si>
    <t>无</t>
  </si>
  <si>
    <t>一直想去白河，但没去过</t>
  </si>
  <si>
    <t>张晓倩</t>
  </si>
  <si>
    <t>椰汁</t>
  </si>
  <si>
    <t>qxz20220713</t>
  </si>
  <si>
    <t>15007131304</t>
  </si>
  <si>
    <t>外国语学院</t>
  </si>
  <si>
    <t>2022本</t>
  </si>
  <si>
    <t>去过白河</t>
  </si>
  <si>
    <t>王玮杰</t>
  </si>
  <si>
    <t>问津</t>
  </si>
  <si>
    <t>wwj66285509350</t>
  </si>
  <si>
    <t>18995610103</t>
  </si>
  <si>
    <t>2200010835</t>
  </si>
  <si>
    <t>夏泽青</t>
  </si>
  <si>
    <t>萌新</t>
  </si>
  <si>
    <t>15650703612</t>
  </si>
  <si>
    <t>16研</t>
  </si>
  <si>
    <t>18南石洋，19官厅，21十渡（不过今年十渡那边路还没修好吧？）
已毕业离校，可能不可控因素较多，还请多多谅解</t>
  </si>
  <si>
    <t>宫玉栋</t>
  </si>
  <si>
    <t>愚宫</t>
  </si>
  <si>
    <t>pkuaz518</t>
  </si>
  <si>
    <t>18600908888</t>
  </si>
  <si>
    <t>2301120080</t>
  </si>
  <si>
    <t>材料科学与工程学院</t>
  </si>
  <si>
    <t>23博</t>
  </si>
  <si>
    <t>王博安</t>
  </si>
  <si>
    <t>夜颂</t>
  </si>
  <si>
    <t>13331099348</t>
  </si>
  <si>
    <t>2300011802</t>
  </si>
  <si>
    <t>朱鼎4</t>
  </si>
  <si>
    <t>雪风</t>
  </si>
  <si>
    <t>zhu1084516712</t>
  </si>
  <si>
    <t>18258103699</t>
  </si>
  <si>
    <t>2300013274</t>
  </si>
  <si>
    <t>城市与环境学院</t>
  </si>
  <si>
    <t>预支了“有队医资格”，完成黑分解正式队医助理后即有队医资格
双日加油！！！我爬爬爬！</t>
  </si>
  <si>
    <t>闵吴美1</t>
  </si>
  <si>
    <t>Kathy</t>
  </si>
  <si>
    <t>Kalaokayyy</t>
  </si>
  <si>
    <t>17800156057</t>
  </si>
  <si>
    <t>2201213599</t>
  </si>
  <si>
    <t>燕京学堂</t>
  </si>
  <si>
    <t>非常希望能参加双日拉练！</t>
  </si>
  <si>
    <t>王晓杨</t>
  </si>
  <si>
    <t>ZC</t>
  </si>
  <si>
    <t>wxy18501196056</t>
  </si>
  <si>
    <t>18501196056</t>
  </si>
  <si>
    <t>2300922004</t>
  </si>
  <si>
    <t>杜汶芮</t>
  </si>
  <si>
    <t>飞蝶</t>
  </si>
  <si>
    <t>dwr0716</t>
  </si>
  <si>
    <t>13520571007</t>
  </si>
  <si>
    <t>2310305112</t>
  </si>
  <si>
    <t>双日！（辛苦啦</t>
  </si>
  <si>
    <t>虢中奇1</t>
  </si>
  <si>
    <t>果丹皮</t>
  </si>
  <si>
    <t>13522719199</t>
  </si>
  <si>
    <t>去过白河了，可以把我和萌新安排到一组。</t>
  </si>
  <si>
    <t>赵瑄</t>
  </si>
  <si>
    <t>红色拖拉机</t>
  </si>
  <si>
    <t>rookie-me</t>
  </si>
  <si>
    <t>13732282670</t>
  </si>
  <si>
    <t>2201110692</t>
  </si>
  <si>
    <t>地球与空间科学学院</t>
  </si>
  <si>
    <t>叶风灿1</t>
  </si>
  <si>
    <t>风吟</t>
  </si>
  <si>
    <t>yfcfloyd</t>
  </si>
  <si>
    <t>18950523161</t>
  </si>
  <si>
    <t>2301111614</t>
  </si>
  <si>
    <t>去过十渡，白河，南石洋。如果分组有困难也不介意再去一次。</t>
  </si>
  <si>
    <t>陈少春</t>
  </si>
  <si>
    <t>余割</t>
  </si>
  <si>
    <t>ThywQuake</t>
  </si>
  <si>
    <t>18296441500</t>
  </si>
  <si>
    <t>2200013429</t>
  </si>
  <si>
    <t>去过南石洋(所以其实也变相去过官厅)</t>
  </si>
  <si>
    <t>霍思梁</t>
  </si>
  <si>
    <t>牛奶雪糕</t>
  </si>
  <si>
    <t>pig-indicator</t>
  </si>
  <si>
    <t>13264506287</t>
  </si>
  <si>
    <t>2310307403</t>
  </si>
  <si>
    <t>想去想去！从来没有参加过小队骑行qwq</t>
  </si>
  <si>
    <t>莫云鹤</t>
  </si>
  <si>
    <t>蓝毛仔</t>
  </si>
  <si>
    <t>18376634459</t>
  </si>
  <si>
    <t>18376634450</t>
  </si>
  <si>
    <t>2200011458</t>
  </si>
  <si>
    <t>去过南石洋</t>
  </si>
  <si>
    <t>程天</t>
  </si>
  <si>
    <t>emily</t>
  </si>
  <si>
    <t>emilyruns</t>
  </si>
  <si>
    <t>19568754791</t>
  </si>
  <si>
    <t>2201213593</t>
  </si>
  <si>
    <t>22硕</t>
  </si>
  <si>
    <r>
      <t>A1</t>
    </r>
    <r>
      <rPr>
        <sz val="10"/>
        <rFont val="宋体"/>
        <family val="2"/>
        <charset val="134"/>
      </rPr>
      <t>组</t>
    </r>
    <phoneticPr fontId="2" type="noConversion"/>
  </si>
  <si>
    <r>
      <t>A2</t>
    </r>
    <r>
      <rPr>
        <sz val="10"/>
        <rFont val="宋体"/>
        <family val="2"/>
        <charset val="134"/>
      </rPr>
      <t>组</t>
    </r>
    <phoneticPr fontId="2" type="noConversion"/>
  </si>
  <si>
    <r>
      <t>A3</t>
    </r>
    <r>
      <rPr>
        <sz val="10"/>
        <rFont val="宋体"/>
        <family val="2"/>
        <charset val="134"/>
      </rPr>
      <t>组</t>
    </r>
    <phoneticPr fontId="2" type="noConversion"/>
  </si>
  <si>
    <t>白河</t>
    <phoneticPr fontId="2" type="noConversion"/>
  </si>
  <si>
    <t>官厅</t>
    <phoneticPr fontId="2" type="noConversion"/>
  </si>
  <si>
    <t>琉璃庙</t>
    <phoneticPr fontId="2" type="noConversion"/>
  </si>
  <si>
    <t>队医</t>
    <phoneticPr fontId="2" type="noConversion"/>
  </si>
  <si>
    <t>押后</t>
    <phoneticPr fontId="2" type="noConversion"/>
  </si>
  <si>
    <t>预计押后</t>
    <phoneticPr fontId="2" type="noConversion"/>
  </si>
  <si>
    <t>预计队医</t>
    <phoneticPr fontId="2" type="noConversion"/>
  </si>
  <si>
    <t>均无</t>
    <phoneticPr fontId="2" type="noConversion"/>
  </si>
  <si>
    <t>长途</t>
    <phoneticPr fontId="2" type="noConversion"/>
  </si>
  <si>
    <t>拉练多</t>
    <phoneticPr fontId="2" type="noConversion"/>
  </si>
  <si>
    <t>前站</t>
    <phoneticPr fontId="2" type="noConversion"/>
  </si>
  <si>
    <r>
      <rPr>
        <sz val="10"/>
        <rFont val="宋体"/>
        <family val="2"/>
        <charset val="134"/>
      </rPr>
      <t>尽量</t>
    </r>
    <r>
      <rPr>
        <sz val="10"/>
        <rFont val="Arial"/>
        <family val="2"/>
      </rPr>
      <t>B</t>
    </r>
    <phoneticPr fontId="2" type="noConversion"/>
  </si>
  <si>
    <t>琉璃庙白河</t>
    <phoneticPr fontId="2" type="noConversion"/>
  </si>
  <si>
    <t>白河 可再去</t>
    <phoneticPr fontId="2" type="noConversion"/>
  </si>
  <si>
    <t>官厅 白河</t>
    <phoneticPr fontId="2" type="noConversion"/>
  </si>
  <si>
    <t>南石洋 官厅</t>
    <phoneticPr fontId="2" type="noConversion"/>
  </si>
  <si>
    <t>暑期</t>
    <phoneticPr fontId="2" type="noConversion"/>
  </si>
  <si>
    <t>春训</t>
    <phoneticPr fontId="2" type="noConversion"/>
  </si>
  <si>
    <r>
      <rPr>
        <sz val="10"/>
        <rFont val="宋体"/>
        <family val="2"/>
        <charset val="134"/>
      </rPr>
      <t>尽量</t>
    </r>
    <r>
      <rPr>
        <sz val="10"/>
        <rFont val="Arial"/>
        <family val="2"/>
      </rPr>
      <t>B</t>
    </r>
    <phoneticPr fontId="2" type="noConversion"/>
  </si>
  <si>
    <t>男</t>
    <phoneticPr fontId="2" type="noConversion"/>
  </si>
  <si>
    <t>性别</t>
    <phoneticPr fontId="2" type="noConversion"/>
  </si>
  <si>
    <t>春季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</si>
</sst>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3" fillId="4" borderId="0" xfId="0" applyFont="1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1B50-EFB5-4290-862D-A931E31C17C6}">
  <dimension ref="A1:Y51"/>
  <sheetViews>
    <sheetView tabSelected="1" topLeftCell="A6" workbookViewId="0">
      <selection activeCell="X32" sqref="X32"/>
    </sheetView>
  </sheetViews>
  <sheetFormatPr defaultRowHeight="12.5" x14ac:dyDescent="0.25"/>
  <cols>
    <col min="1" max="1" width="7.1796875" customWidth="1"/>
    <col min="2" max="2" width="0" hidden="1" customWidth="1"/>
    <col min="3" max="3" width="7.453125" customWidth="1"/>
    <col min="4" max="4" width="3.26953125" customWidth="1"/>
    <col min="5" max="8" width="0" hidden="1" customWidth="1"/>
    <col min="9" max="9" width="4.54296875" customWidth="1"/>
    <col min="10" max="10" width="3.08984375" hidden="1" customWidth="1"/>
    <col min="11" max="12" width="3.08984375" customWidth="1"/>
    <col min="13" max="14" width="3.08984375" hidden="1" customWidth="1"/>
    <col min="15" max="23" width="3.08984375" customWidth="1"/>
    <col min="24" max="24" width="8.54296875" customWidth="1"/>
    <col min="25" max="25" width="3.08984375" customWidth="1"/>
  </cols>
  <sheetData>
    <row r="1" spans="1:25" ht="13" x14ac:dyDescent="0.25">
      <c r="A1" t="s">
        <v>0</v>
      </c>
      <c r="B1" t="s">
        <v>1</v>
      </c>
      <c r="C1" t="s">
        <v>2</v>
      </c>
      <c r="D1" s="2" t="s">
        <v>319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320</v>
      </c>
      <c r="L1" s="2" t="s">
        <v>315</v>
      </c>
      <c r="M1" s="2" t="s">
        <v>316</v>
      </c>
      <c r="N1" t="s">
        <v>10</v>
      </c>
      <c r="O1" t="s">
        <v>11</v>
      </c>
      <c r="P1" s="2" t="s">
        <v>302</v>
      </c>
      <c r="Q1" s="2" t="s">
        <v>303</v>
      </c>
      <c r="R1" s="2" t="s">
        <v>304</v>
      </c>
      <c r="S1" s="2" t="s">
        <v>305</v>
      </c>
      <c r="T1" s="2" t="s">
        <v>306</v>
      </c>
      <c r="U1" s="2" t="s">
        <v>307</v>
      </c>
      <c r="V1" s="2" t="s">
        <v>308</v>
      </c>
      <c r="W1" s="2" t="s">
        <v>309</v>
      </c>
      <c r="X1" s="2"/>
      <c r="Y1" t="s">
        <v>12</v>
      </c>
    </row>
    <row r="2" spans="1:25" ht="13" x14ac:dyDescent="0.25">
      <c r="A2" t="s">
        <v>296</v>
      </c>
      <c r="B2" s="2" t="s">
        <v>301</v>
      </c>
      <c r="C2" s="2" t="s">
        <v>301</v>
      </c>
    </row>
    <row r="3" spans="1:25" x14ac:dyDescent="0.25">
      <c r="A3">
        <v>25</v>
      </c>
      <c r="B3" t="s">
        <v>66</v>
      </c>
      <c r="C3" t="s">
        <v>67</v>
      </c>
      <c r="D3" t="s">
        <v>46</v>
      </c>
      <c r="E3" t="s">
        <v>68</v>
      </c>
      <c r="F3" t="s">
        <v>69</v>
      </c>
      <c r="G3" t="s">
        <v>70</v>
      </c>
      <c r="H3" t="s">
        <v>71</v>
      </c>
      <c r="I3" t="s">
        <v>35</v>
      </c>
      <c r="J3">
        <v>1</v>
      </c>
      <c r="N3">
        <v>1</v>
      </c>
      <c r="P3">
        <v>1</v>
      </c>
      <c r="Q3">
        <v>1</v>
      </c>
      <c r="U3">
        <v>1</v>
      </c>
      <c r="V3">
        <v>1</v>
      </c>
      <c r="W3">
        <v>1</v>
      </c>
      <c r="X3" t="s">
        <v>72</v>
      </c>
    </row>
    <row r="4" spans="1:25" x14ac:dyDescent="0.25">
      <c r="A4">
        <v>36</v>
      </c>
      <c r="B4" t="s">
        <v>102</v>
      </c>
      <c r="C4" t="s">
        <v>103</v>
      </c>
      <c r="D4" t="s">
        <v>46</v>
      </c>
      <c r="E4" t="s">
        <v>104</v>
      </c>
      <c r="F4" t="s">
        <v>105</v>
      </c>
      <c r="G4">
        <v>2001213231</v>
      </c>
      <c r="H4" t="s">
        <v>106</v>
      </c>
      <c r="I4" t="s">
        <v>107</v>
      </c>
      <c r="J4">
        <v>1</v>
      </c>
      <c r="L4">
        <v>1</v>
      </c>
      <c r="M4">
        <v>1</v>
      </c>
      <c r="N4">
        <v>1</v>
      </c>
      <c r="P4">
        <v>1</v>
      </c>
      <c r="Q4">
        <v>1</v>
      </c>
      <c r="U4">
        <v>1</v>
      </c>
      <c r="V4">
        <v>1</v>
      </c>
      <c r="W4">
        <v>1</v>
      </c>
      <c r="X4" t="s">
        <v>108</v>
      </c>
    </row>
    <row r="5" spans="1:25" x14ac:dyDescent="0.25">
      <c r="A5">
        <v>70</v>
      </c>
      <c r="B5" t="s">
        <v>181</v>
      </c>
      <c r="C5" t="s">
        <v>182</v>
      </c>
      <c r="D5" t="s">
        <v>15</v>
      </c>
      <c r="E5" t="s">
        <v>183</v>
      </c>
      <c r="F5" t="s">
        <v>184</v>
      </c>
      <c r="G5" t="s">
        <v>185</v>
      </c>
      <c r="H5" t="s">
        <v>110</v>
      </c>
      <c r="I5" t="s">
        <v>27</v>
      </c>
      <c r="J5">
        <v>1</v>
      </c>
      <c r="L5">
        <v>1</v>
      </c>
      <c r="M5">
        <v>1</v>
      </c>
      <c r="N5">
        <v>1</v>
      </c>
      <c r="P5">
        <v>1</v>
      </c>
      <c r="Q5">
        <v>1</v>
      </c>
      <c r="U5">
        <v>1</v>
      </c>
      <c r="V5">
        <v>1</v>
      </c>
      <c r="W5">
        <v>1</v>
      </c>
      <c r="X5" t="s">
        <v>186</v>
      </c>
    </row>
    <row r="6" spans="1:25" x14ac:dyDescent="0.25">
      <c r="A6">
        <v>47</v>
      </c>
      <c r="B6" t="s">
        <v>111</v>
      </c>
      <c r="C6" t="s">
        <v>112</v>
      </c>
      <c r="D6" t="s">
        <v>15</v>
      </c>
      <c r="E6" t="s">
        <v>113</v>
      </c>
      <c r="F6" t="s">
        <v>114</v>
      </c>
      <c r="G6" t="s">
        <v>115</v>
      </c>
      <c r="H6" t="s">
        <v>64</v>
      </c>
      <c r="I6" t="s">
        <v>35</v>
      </c>
      <c r="J6">
        <v>1</v>
      </c>
      <c r="K6">
        <v>1</v>
      </c>
      <c r="N6">
        <v>1</v>
      </c>
      <c r="S6">
        <v>1</v>
      </c>
      <c r="W6">
        <v>1</v>
      </c>
      <c r="Y6" t="s">
        <v>116</v>
      </c>
    </row>
    <row r="7" spans="1:25" x14ac:dyDescent="0.25">
      <c r="A7">
        <v>120</v>
      </c>
      <c r="B7" t="s">
        <v>284</v>
      </c>
      <c r="C7" t="s">
        <v>285</v>
      </c>
      <c r="D7" t="s">
        <v>15</v>
      </c>
      <c r="E7" t="s">
        <v>286</v>
      </c>
      <c r="F7" t="s">
        <v>287</v>
      </c>
      <c r="G7" t="s">
        <v>288</v>
      </c>
      <c r="H7" t="s">
        <v>26</v>
      </c>
      <c r="I7" t="s">
        <v>27</v>
      </c>
      <c r="J7">
        <v>1</v>
      </c>
      <c r="L7">
        <v>1</v>
      </c>
      <c r="M7">
        <v>1</v>
      </c>
      <c r="N7">
        <v>1</v>
      </c>
      <c r="O7">
        <v>1</v>
      </c>
      <c r="P7">
        <v>1</v>
      </c>
      <c r="U7">
        <v>1</v>
      </c>
      <c r="V7">
        <v>1</v>
      </c>
      <c r="W7">
        <v>1</v>
      </c>
      <c r="Y7" t="s">
        <v>289</v>
      </c>
    </row>
    <row r="8" spans="1:25" ht="13" x14ac:dyDescent="0.25">
      <c r="A8">
        <v>86</v>
      </c>
      <c r="B8" t="s">
        <v>215</v>
      </c>
      <c r="C8" t="s">
        <v>216</v>
      </c>
      <c r="D8" t="s">
        <v>15</v>
      </c>
      <c r="E8" t="s">
        <v>217</v>
      </c>
      <c r="F8" t="s">
        <v>217</v>
      </c>
      <c r="G8">
        <v>1601111309</v>
      </c>
      <c r="H8" t="s">
        <v>18</v>
      </c>
      <c r="I8" t="s">
        <v>218</v>
      </c>
      <c r="J8">
        <v>1</v>
      </c>
      <c r="N8">
        <v>1</v>
      </c>
      <c r="P8">
        <v>1</v>
      </c>
      <c r="U8">
        <v>1</v>
      </c>
      <c r="V8">
        <v>1</v>
      </c>
      <c r="W8">
        <v>1</v>
      </c>
      <c r="X8" s="2" t="s">
        <v>300</v>
      </c>
      <c r="Y8" t="s">
        <v>219</v>
      </c>
    </row>
    <row r="9" spans="1:25" x14ac:dyDescent="0.25">
      <c r="A9">
        <v>50</v>
      </c>
      <c r="B9" t="s">
        <v>129</v>
      </c>
      <c r="C9" t="s">
        <v>130</v>
      </c>
      <c r="D9" t="s">
        <v>15</v>
      </c>
      <c r="E9" t="s">
        <v>131</v>
      </c>
      <c r="F9" t="s">
        <v>132</v>
      </c>
      <c r="G9" t="s">
        <v>133</v>
      </c>
      <c r="H9" t="s">
        <v>134</v>
      </c>
      <c r="I9" t="s">
        <v>27</v>
      </c>
      <c r="J9">
        <v>1</v>
      </c>
      <c r="K9">
        <v>1</v>
      </c>
      <c r="N9">
        <v>1</v>
      </c>
      <c r="T9">
        <v>1</v>
      </c>
      <c r="W9">
        <v>1</v>
      </c>
      <c r="Y9" t="s">
        <v>87</v>
      </c>
    </row>
    <row r="10" spans="1:25" x14ac:dyDescent="0.25">
      <c r="A10">
        <v>28</v>
      </c>
      <c r="B10" t="s">
        <v>73</v>
      </c>
      <c r="C10" t="s">
        <v>74</v>
      </c>
      <c r="D10" t="s">
        <v>15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>
        <v>1</v>
      </c>
      <c r="N10">
        <v>1</v>
      </c>
      <c r="O10">
        <v>1</v>
      </c>
      <c r="Q10">
        <v>1</v>
      </c>
      <c r="U10">
        <v>1</v>
      </c>
      <c r="V10">
        <v>1</v>
      </c>
      <c r="W10">
        <v>1</v>
      </c>
      <c r="Y10" t="s">
        <v>80</v>
      </c>
    </row>
    <row r="11" spans="1:25" x14ac:dyDescent="0.25">
      <c r="A11">
        <v>58</v>
      </c>
      <c r="B11" t="s">
        <v>153</v>
      </c>
      <c r="C11" t="s">
        <v>154</v>
      </c>
      <c r="D11" t="s">
        <v>15</v>
      </c>
      <c r="E11" t="s">
        <v>155</v>
      </c>
      <c r="F11" t="s">
        <v>156</v>
      </c>
      <c r="G11" t="s">
        <v>157</v>
      </c>
      <c r="H11" t="s">
        <v>110</v>
      </c>
      <c r="I11" t="s">
        <v>35</v>
      </c>
      <c r="J11">
        <v>1</v>
      </c>
      <c r="N11">
        <v>1</v>
      </c>
      <c r="O11">
        <v>1</v>
      </c>
      <c r="T11">
        <v>1</v>
      </c>
      <c r="U11">
        <v>1</v>
      </c>
      <c r="Y11" t="s">
        <v>158</v>
      </c>
    </row>
    <row r="12" spans="1:25" x14ac:dyDescent="0.25">
      <c r="A12">
        <v>115</v>
      </c>
      <c r="B12" t="s">
        <v>278</v>
      </c>
      <c r="C12" t="s">
        <v>279</v>
      </c>
      <c r="D12" t="s">
        <v>46</v>
      </c>
      <c r="E12" t="s">
        <v>280</v>
      </c>
      <c r="F12" t="s">
        <v>281</v>
      </c>
      <c r="G12" t="s">
        <v>282</v>
      </c>
      <c r="H12" t="s">
        <v>109</v>
      </c>
      <c r="I12" t="s">
        <v>35</v>
      </c>
      <c r="J12">
        <v>1</v>
      </c>
      <c r="K12">
        <v>1</v>
      </c>
      <c r="N12">
        <v>1</v>
      </c>
      <c r="T12">
        <v>1</v>
      </c>
      <c r="U12" t="s">
        <v>140</v>
      </c>
      <c r="V12" t="s">
        <v>140</v>
      </c>
      <c r="W12" t="s">
        <v>140</v>
      </c>
      <c r="Y12" t="s">
        <v>283</v>
      </c>
    </row>
    <row r="13" spans="1:25" s="6" customFormat="1" x14ac:dyDescent="0.25">
      <c r="A13" s="6">
        <v>90</v>
      </c>
      <c r="B13" s="6" t="s">
        <v>227</v>
      </c>
      <c r="C13" s="6" t="s">
        <v>228</v>
      </c>
      <c r="D13" s="6" t="s">
        <v>15</v>
      </c>
      <c r="E13" s="6" t="s">
        <v>229</v>
      </c>
      <c r="F13" s="6" t="s">
        <v>229</v>
      </c>
      <c r="G13" s="6" t="s">
        <v>230</v>
      </c>
      <c r="H13" s="6" t="s">
        <v>110</v>
      </c>
      <c r="I13" s="6" t="s">
        <v>35</v>
      </c>
      <c r="J13" s="6">
        <v>1</v>
      </c>
      <c r="N13" s="6">
        <v>1</v>
      </c>
      <c r="S13" s="6">
        <v>1</v>
      </c>
      <c r="V13" s="6">
        <v>1</v>
      </c>
      <c r="W13" s="6">
        <v>1</v>
      </c>
      <c r="Y13" s="6" t="s">
        <v>87</v>
      </c>
    </row>
    <row r="14" spans="1:25" x14ac:dyDescent="0.25">
      <c r="A14">
        <v>122</v>
      </c>
      <c r="B14" t="s">
        <v>290</v>
      </c>
      <c r="C14" t="s">
        <v>291</v>
      </c>
      <c r="D14" t="s">
        <v>46</v>
      </c>
      <c r="E14" t="s">
        <v>292</v>
      </c>
      <c r="F14" t="s">
        <v>293</v>
      </c>
      <c r="G14" t="s">
        <v>294</v>
      </c>
      <c r="H14" t="s">
        <v>243</v>
      </c>
      <c r="I14" t="s">
        <v>295</v>
      </c>
      <c r="J14">
        <v>1</v>
      </c>
      <c r="N14">
        <v>1</v>
      </c>
      <c r="T14">
        <v>1</v>
      </c>
      <c r="U14">
        <v>1</v>
      </c>
      <c r="V14">
        <v>1</v>
      </c>
      <c r="Y14" t="s">
        <v>87</v>
      </c>
    </row>
    <row r="15" spans="1:25" x14ac:dyDescent="0.25">
      <c r="A15">
        <v>89</v>
      </c>
      <c r="B15" t="s">
        <v>220</v>
      </c>
      <c r="C15" t="s">
        <v>221</v>
      </c>
      <c r="D15" t="s">
        <v>15</v>
      </c>
      <c r="E15" t="s">
        <v>222</v>
      </c>
      <c r="F15" t="s">
        <v>223</v>
      </c>
      <c r="G15" t="s">
        <v>224</v>
      </c>
      <c r="H15" t="s">
        <v>225</v>
      </c>
      <c r="I15" t="s">
        <v>226</v>
      </c>
      <c r="J15">
        <v>1</v>
      </c>
      <c r="N15">
        <v>1</v>
      </c>
      <c r="T15">
        <v>1</v>
      </c>
      <c r="U15">
        <v>1</v>
      </c>
      <c r="Y15" t="s">
        <v>87</v>
      </c>
    </row>
    <row r="16" spans="1:25" ht="13" x14ac:dyDescent="0.25">
      <c r="A16">
        <v>6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>
        <v>2101111582</v>
      </c>
      <c r="H16" t="s">
        <v>18</v>
      </c>
      <c r="I16" t="s">
        <v>19</v>
      </c>
      <c r="L16">
        <v>1</v>
      </c>
      <c r="M16">
        <v>1</v>
      </c>
      <c r="N16">
        <v>1</v>
      </c>
      <c r="P16">
        <v>1</v>
      </c>
      <c r="Q16">
        <v>1</v>
      </c>
      <c r="U16">
        <v>1</v>
      </c>
      <c r="V16">
        <v>1</v>
      </c>
      <c r="W16">
        <v>1</v>
      </c>
      <c r="X16" s="2" t="s">
        <v>312</v>
      </c>
      <c r="Y16" t="s">
        <v>20</v>
      </c>
    </row>
    <row r="17" spans="1:25" x14ac:dyDescent="0.25">
      <c r="A17">
        <f>SUM(A3:A16)</f>
        <v>942</v>
      </c>
      <c r="B17">
        <f ca="1">SUM(B3:B32)</f>
        <v>0</v>
      </c>
      <c r="C17">
        <f>SUM(C3:C16)</f>
        <v>0</v>
      </c>
      <c r="D17">
        <f>COUNTIF(D3:D16,"男")</f>
        <v>10</v>
      </c>
      <c r="E17">
        <f ca="1">SUM(E3:E32)</f>
        <v>0</v>
      </c>
      <c r="F17">
        <f ca="1">SUM(F3:F32)</f>
        <v>0</v>
      </c>
      <c r="G17">
        <f ca="1">SUM(G3:G32)</f>
        <v>7413743327</v>
      </c>
      <c r="H17">
        <f ca="1">SUM(H3:H32)</f>
        <v>0</v>
      </c>
      <c r="I17">
        <f>SUM(I3:I16)</f>
        <v>0</v>
      </c>
      <c r="J17">
        <f t="shared" ref="J17:W17" si="0">SUM(J3:J16)</f>
        <v>13</v>
      </c>
      <c r="K17">
        <f>SUM(K3:K16)</f>
        <v>3</v>
      </c>
      <c r="L17">
        <f t="shared" si="0"/>
        <v>4</v>
      </c>
      <c r="M17">
        <f t="shared" si="0"/>
        <v>4</v>
      </c>
      <c r="N17">
        <f t="shared" si="0"/>
        <v>14</v>
      </c>
      <c r="O17">
        <f t="shared" si="0"/>
        <v>3</v>
      </c>
      <c r="P17">
        <f t="shared" si="0"/>
        <v>6</v>
      </c>
      <c r="Q17">
        <f t="shared" si="0"/>
        <v>5</v>
      </c>
      <c r="R17">
        <f t="shared" si="0"/>
        <v>0</v>
      </c>
      <c r="S17">
        <f t="shared" si="0"/>
        <v>2</v>
      </c>
      <c r="T17">
        <f t="shared" si="0"/>
        <v>5</v>
      </c>
      <c r="U17">
        <f t="shared" si="0"/>
        <v>10</v>
      </c>
      <c r="V17">
        <f t="shared" si="0"/>
        <v>9</v>
      </c>
      <c r="W17">
        <f t="shared" si="0"/>
        <v>10</v>
      </c>
    </row>
    <row r="18" spans="1:25" x14ac:dyDescent="0.25">
      <c r="D18">
        <f ca="1">COUNTA(D3:D32)</f>
        <v>14</v>
      </c>
    </row>
    <row r="19" spans="1:25" ht="13" x14ac:dyDescent="0.25">
      <c r="A19" t="s">
        <v>297</v>
      </c>
      <c r="B19" s="2" t="s">
        <v>300</v>
      </c>
      <c r="C19" s="2" t="s">
        <v>300</v>
      </c>
    </row>
    <row r="20" spans="1:25" x14ac:dyDescent="0.25">
      <c r="A20">
        <v>35</v>
      </c>
      <c r="B20" t="s">
        <v>95</v>
      </c>
      <c r="C20" t="s">
        <v>96</v>
      </c>
      <c r="D20" t="s">
        <v>15</v>
      </c>
      <c r="E20" t="s">
        <v>97</v>
      </c>
      <c r="F20" t="s">
        <v>98</v>
      </c>
      <c r="G20">
        <v>2000013104</v>
      </c>
      <c r="H20" t="s">
        <v>99</v>
      </c>
      <c r="I20" t="s">
        <v>100</v>
      </c>
      <c r="J20">
        <v>1</v>
      </c>
      <c r="N20">
        <v>1</v>
      </c>
      <c r="O20">
        <v>1</v>
      </c>
      <c r="P20">
        <v>1</v>
      </c>
      <c r="Q20">
        <v>1</v>
      </c>
      <c r="U20">
        <v>1</v>
      </c>
      <c r="V20">
        <v>1</v>
      </c>
      <c r="W20">
        <v>1</v>
      </c>
      <c r="X20" t="s">
        <v>101</v>
      </c>
    </row>
    <row r="21" spans="1:25" x14ac:dyDescent="0.25">
      <c r="A21">
        <v>82</v>
      </c>
      <c r="B21" t="s">
        <v>203</v>
      </c>
      <c r="C21" t="s">
        <v>204</v>
      </c>
      <c r="D21" t="s">
        <v>46</v>
      </c>
      <c r="E21" t="s">
        <v>205</v>
      </c>
      <c r="F21" t="s">
        <v>206</v>
      </c>
      <c r="G21">
        <v>2100018818</v>
      </c>
      <c r="H21" t="s">
        <v>207</v>
      </c>
      <c r="I21" t="s">
        <v>208</v>
      </c>
      <c r="J21">
        <v>1</v>
      </c>
      <c r="L21">
        <v>1</v>
      </c>
      <c r="M21">
        <v>1</v>
      </c>
      <c r="N21">
        <v>1</v>
      </c>
      <c r="P21">
        <v>1</v>
      </c>
      <c r="Q21">
        <v>1</v>
      </c>
      <c r="U21">
        <v>1</v>
      </c>
      <c r="V21">
        <v>1</v>
      </c>
      <c r="W21">
        <v>1</v>
      </c>
      <c r="X21" t="s">
        <v>209</v>
      </c>
    </row>
    <row r="22" spans="1:25" ht="13" x14ac:dyDescent="0.25">
      <c r="A22">
        <v>106</v>
      </c>
      <c r="B22" t="s">
        <v>256</v>
      </c>
      <c r="C22" t="s">
        <v>257</v>
      </c>
      <c r="D22" t="s">
        <v>15</v>
      </c>
      <c r="E22" t="s">
        <v>258</v>
      </c>
      <c r="F22" t="s">
        <v>258</v>
      </c>
      <c r="G22">
        <v>1800016235</v>
      </c>
      <c r="H22" t="s">
        <v>78</v>
      </c>
      <c r="I22" t="s">
        <v>100</v>
      </c>
      <c r="M22">
        <v>1</v>
      </c>
      <c r="N22">
        <v>1</v>
      </c>
      <c r="Q22">
        <v>1</v>
      </c>
      <c r="U22">
        <v>1</v>
      </c>
      <c r="V22">
        <v>1</v>
      </c>
      <c r="X22" s="2" t="s">
        <v>299</v>
      </c>
      <c r="Y22" t="s">
        <v>259</v>
      </c>
    </row>
    <row r="23" spans="1:25" x14ac:dyDescent="0.25">
      <c r="A23">
        <v>11</v>
      </c>
      <c r="B23" t="s">
        <v>37</v>
      </c>
      <c r="C23" t="s">
        <v>38</v>
      </c>
      <c r="D23" t="s">
        <v>15</v>
      </c>
      <c r="E23" t="s">
        <v>39</v>
      </c>
      <c r="F23" t="s">
        <v>40</v>
      </c>
      <c r="G23" t="s">
        <v>41</v>
      </c>
      <c r="H23" t="s">
        <v>42</v>
      </c>
      <c r="I23" t="s">
        <v>35</v>
      </c>
      <c r="J23">
        <v>1</v>
      </c>
      <c r="N23">
        <v>1</v>
      </c>
      <c r="O23">
        <v>1</v>
      </c>
      <c r="T23">
        <v>1</v>
      </c>
      <c r="U23">
        <v>1</v>
      </c>
      <c r="V23">
        <v>1</v>
      </c>
      <c r="W23">
        <v>1</v>
      </c>
      <c r="Y23" t="s">
        <v>43</v>
      </c>
    </row>
    <row r="24" spans="1:25" ht="13" x14ac:dyDescent="0.25">
      <c r="A24">
        <v>14</v>
      </c>
      <c r="B24" t="s">
        <v>52</v>
      </c>
      <c r="C24" t="s">
        <v>53</v>
      </c>
      <c r="D24" t="s">
        <v>15</v>
      </c>
      <c r="E24" t="s">
        <v>54</v>
      </c>
      <c r="F24" t="s">
        <v>55</v>
      </c>
      <c r="G24">
        <v>1910301117</v>
      </c>
      <c r="H24" t="s">
        <v>56</v>
      </c>
      <c r="I24" t="s">
        <v>57</v>
      </c>
      <c r="L24">
        <v>1</v>
      </c>
      <c r="M24">
        <v>1</v>
      </c>
      <c r="N24">
        <v>1</v>
      </c>
      <c r="P24">
        <v>1</v>
      </c>
      <c r="Q24">
        <v>1</v>
      </c>
      <c r="U24">
        <v>1</v>
      </c>
      <c r="V24">
        <v>1</v>
      </c>
      <c r="W24">
        <v>1</v>
      </c>
      <c r="X24" s="2" t="s">
        <v>299</v>
      </c>
      <c r="Y24" t="s">
        <v>58</v>
      </c>
    </row>
    <row r="25" spans="1:25" s="6" customFormat="1" x14ac:dyDescent="0.25">
      <c r="A25" s="6">
        <v>10</v>
      </c>
      <c r="B25" s="6" t="s">
        <v>29</v>
      </c>
      <c r="C25" s="6" t="s">
        <v>30</v>
      </c>
      <c r="D25" s="6" t="s">
        <v>15</v>
      </c>
      <c r="E25" s="6" t="s">
        <v>31</v>
      </c>
      <c r="F25" s="6" t="s">
        <v>32</v>
      </c>
      <c r="G25" s="6" t="s">
        <v>33</v>
      </c>
      <c r="H25" s="6" t="s">
        <v>34</v>
      </c>
      <c r="I25" s="6" t="s">
        <v>35</v>
      </c>
      <c r="J25" s="6">
        <v>1</v>
      </c>
      <c r="K25" s="6">
        <v>1</v>
      </c>
      <c r="N25" s="6">
        <v>1</v>
      </c>
      <c r="P25" s="6">
        <v>1</v>
      </c>
      <c r="T25" s="6">
        <v>1</v>
      </c>
      <c r="V25" s="6">
        <v>1</v>
      </c>
      <c r="W25" s="6">
        <v>1</v>
      </c>
      <c r="Y25" s="6" t="s">
        <v>36</v>
      </c>
    </row>
    <row r="26" spans="1:25" x14ac:dyDescent="0.25">
      <c r="A26">
        <v>57</v>
      </c>
      <c r="B26" t="s">
        <v>147</v>
      </c>
      <c r="C26" t="s">
        <v>148</v>
      </c>
      <c r="D26" t="s">
        <v>46</v>
      </c>
      <c r="E26" t="s">
        <v>149</v>
      </c>
      <c r="F26" t="s">
        <v>150</v>
      </c>
      <c r="G26">
        <v>1810307117</v>
      </c>
      <c r="H26" t="s">
        <v>109</v>
      </c>
      <c r="I26" t="s">
        <v>151</v>
      </c>
      <c r="J26">
        <v>1</v>
      </c>
      <c r="K26">
        <v>1</v>
      </c>
      <c r="N26">
        <v>1</v>
      </c>
      <c r="T26">
        <v>1</v>
      </c>
      <c r="W26">
        <v>1</v>
      </c>
      <c r="Y26" t="s">
        <v>152</v>
      </c>
    </row>
    <row r="27" spans="1:25" x14ac:dyDescent="0.25">
      <c r="A27">
        <v>94</v>
      </c>
      <c r="B27" t="s">
        <v>238</v>
      </c>
      <c r="C27" t="s">
        <v>239</v>
      </c>
      <c r="D27" t="s">
        <v>46</v>
      </c>
      <c r="E27" t="s">
        <v>240</v>
      </c>
      <c r="F27" t="s">
        <v>241</v>
      </c>
      <c r="G27" t="s">
        <v>242</v>
      </c>
      <c r="H27" t="s">
        <v>243</v>
      </c>
      <c r="I27" t="s">
        <v>151</v>
      </c>
      <c r="J27">
        <v>1</v>
      </c>
      <c r="N27">
        <v>1</v>
      </c>
      <c r="T27">
        <v>1</v>
      </c>
      <c r="V27">
        <v>1</v>
      </c>
      <c r="Y27" t="s">
        <v>244</v>
      </c>
    </row>
    <row r="28" spans="1:25" x14ac:dyDescent="0.25">
      <c r="A28">
        <v>108</v>
      </c>
      <c r="B28" t="s">
        <v>260</v>
      </c>
      <c r="C28" t="s">
        <v>261</v>
      </c>
      <c r="D28" t="s">
        <v>15</v>
      </c>
      <c r="E28" t="s">
        <v>262</v>
      </c>
      <c r="F28" t="s">
        <v>263</v>
      </c>
      <c r="G28" t="s">
        <v>264</v>
      </c>
      <c r="H28" t="s">
        <v>265</v>
      </c>
      <c r="I28" t="s">
        <v>151</v>
      </c>
      <c r="J28">
        <v>1</v>
      </c>
      <c r="N28">
        <v>1</v>
      </c>
      <c r="R28">
        <v>1</v>
      </c>
      <c r="U28">
        <v>1</v>
      </c>
      <c r="V28">
        <v>1</v>
      </c>
      <c r="Y28" t="s">
        <v>87</v>
      </c>
    </row>
    <row r="29" spans="1:25" x14ac:dyDescent="0.25">
      <c r="A29">
        <v>62</v>
      </c>
      <c r="B29" t="s">
        <v>165</v>
      </c>
      <c r="C29" t="s">
        <v>166</v>
      </c>
      <c r="D29" t="s">
        <v>15</v>
      </c>
      <c r="E29" t="s">
        <v>167</v>
      </c>
      <c r="F29" t="s">
        <v>167</v>
      </c>
      <c r="G29">
        <v>2000010624</v>
      </c>
      <c r="H29" t="s">
        <v>168</v>
      </c>
      <c r="I29" t="s">
        <v>100</v>
      </c>
      <c r="J29">
        <v>1</v>
      </c>
      <c r="N29">
        <v>1</v>
      </c>
      <c r="R29">
        <v>1</v>
      </c>
      <c r="S29">
        <v>1</v>
      </c>
      <c r="U29">
        <v>1</v>
      </c>
      <c r="V29">
        <v>1</v>
      </c>
      <c r="W29">
        <v>1</v>
      </c>
      <c r="Y29" t="s">
        <v>169</v>
      </c>
    </row>
    <row r="30" spans="1:25" x14ac:dyDescent="0.25">
      <c r="A30">
        <v>61</v>
      </c>
      <c r="B30" t="s">
        <v>159</v>
      </c>
      <c r="C30" t="s">
        <v>160</v>
      </c>
      <c r="D30" t="s">
        <v>15</v>
      </c>
      <c r="E30" t="s">
        <v>161</v>
      </c>
      <c r="F30" t="s">
        <v>162</v>
      </c>
      <c r="G30" t="s">
        <v>163</v>
      </c>
      <c r="H30" t="s">
        <v>99</v>
      </c>
      <c r="I30" t="s">
        <v>35</v>
      </c>
      <c r="J30">
        <v>1</v>
      </c>
      <c r="K30">
        <v>1</v>
      </c>
      <c r="N30">
        <v>1</v>
      </c>
      <c r="O30">
        <v>1</v>
      </c>
      <c r="T30">
        <v>1</v>
      </c>
      <c r="U30" t="s">
        <v>140</v>
      </c>
      <c r="V30" t="s">
        <v>140</v>
      </c>
      <c r="W30" t="s">
        <v>140</v>
      </c>
      <c r="Y30" t="s">
        <v>164</v>
      </c>
    </row>
    <row r="31" spans="1:25" x14ac:dyDescent="0.25">
      <c r="A31">
        <v>79</v>
      </c>
      <c r="B31" t="s">
        <v>192</v>
      </c>
      <c r="C31" t="s">
        <v>193</v>
      </c>
      <c r="D31" t="s">
        <v>15</v>
      </c>
      <c r="E31" t="s">
        <v>194</v>
      </c>
      <c r="F31" t="s">
        <v>195</v>
      </c>
      <c r="G31" t="s">
        <v>196</v>
      </c>
      <c r="H31" t="s">
        <v>71</v>
      </c>
      <c r="I31" t="s">
        <v>35</v>
      </c>
      <c r="J31">
        <v>1</v>
      </c>
      <c r="K31">
        <v>1</v>
      </c>
      <c r="N31">
        <v>1</v>
      </c>
      <c r="T31">
        <v>1</v>
      </c>
      <c r="U31" t="s">
        <v>140</v>
      </c>
      <c r="V31" t="s">
        <v>140</v>
      </c>
      <c r="W31" t="s">
        <v>140</v>
      </c>
      <c r="Y31" t="s">
        <v>197</v>
      </c>
    </row>
    <row r="32" spans="1:25" ht="13" x14ac:dyDescent="0.25">
      <c r="A32">
        <v>114</v>
      </c>
      <c r="B32" t="s">
        <v>272</v>
      </c>
      <c r="C32" t="s">
        <v>273</v>
      </c>
      <c r="D32" t="s">
        <v>15</v>
      </c>
      <c r="E32" t="s">
        <v>274</v>
      </c>
      <c r="F32" t="s">
        <v>275</v>
      </c>
      <c r="G32" t="s">
        <v>276</v>
      </c>
      <c r="H32" t="s">
        <v>236</v>
      </c>
      <c r="I32" t="s">
        <v>27</v>
      </c>
      <c r="J32">
        <v>1</v>
      </c>
      <c r="L32">
        <v>1</v>
      </c>
      <c r="M32">
        <v>1</v>
      </c>
      <c r="N32">
        <v>1</v>
      </c>
      <c r="Q32">
        <v>1</v>
      </c>
      <c r="U32">
        <v>1</v>
      </c>
      <c r="V32">
        <v>1</v>
      </c>
      <c r="W32">
        <v>1</v>
      </c>
      <c r="X32" s="2" t="s">
        <v>314</v>
      </c>
      <c r="Y32" t="s">
        <v>277</v>
      </c>
    </row>
    <row r="33" spans="1:25" x14ac:dyDescent="0.25">
      <c r="A33">
        <v>13</v>
      </c>
      <c r="B33" t="s">
        <v>44</v>
      </c>
      <c r="C33" t="s">
        <v>45</v>
      </c>
      <c r="D33" t="s">
        <v>46</v>
      </c>
      <c r="E33" t="s">
        <v>47</v>
      </c>
      <c r="F33" t="s">
        <v>48</v>
      </c>
      <c r="G33" t="s">
        <v>49</v>
      </c>
      <c r="H33" t="s">
        <v>50</v>
      </c>
      <c r="I33" t="s">
        <v>35</v>
      </c>
      <c r="J33">
        <v>1</v>
      </c>
      <c r="N33">
        <v>1</v>
      </c>
      <c r="O33">
        <v>1</v>
      </c>
      <c r="R33">
        <v>1</v>
      </c>
      <c r="U33">
        <v>1</v>
      </c>
      <c r="V33">
        <v>1</v>
      </c>
      <c r="W33">
        <v>1</v>
      </c>
      <c r="Y33" t="s">
        <v>51</v>
      </c>
    </row>
    <row r="34" spans="1:25" x14ac:dyDescent="0.25">
      <c r="A34">
        <f ca="1">SUM(A20:A51)</f>
        <v>824</v>
      </c>
      <c r="B34">
        <f ca="1">SUM(B20:B51)</f>
        <v>0</v>
      </c>
      <c r="C34">
        <f>SUM(C20:C33)</f>
        <v>0</v>
      </c>
      <c r="D34">
        <f>COUNTIF(D20:D33,"男")</f>
        <v>10</v>
      </c>
      <c r="E34">
        <f ca="1">SUM(E20:E51)</f>
        <v>0</v>
      </c>
      <c r="F34">
        <f ca="1">SUM(F20:F51)</f>
        <v>0</v>
      </c>
      <c r="G34">
        <f ca="1">SUM(G20:G51)</f>
        <v>11620667015</v>
      </c>
      <c r="H34">
        <f ca="1">SUM(H20:H51)</f>
        <v>0</v>
      </c>
      <c r="I34">
        <f>SUM(I20:I33)</f>
        <v>0</v>
      </c>
      <c r="J34">
        <f t="shared" ref="J34:W34" si="1">SUM(J20:J33)</f>
        <v>12</v>
      </c>
      <c r="K34">
        <f>SUM(K20:K33)</f>
        <v>4</v>
      </c>
      <c r="L34">
        <f t="shared" si="1"/>
        <v>3</v>
      </c>
      <c r="M34">
        <f t="shared" si="1"/>
        <v>4</v>
      </c>
      <c r="N34">
        <f t="shared" si="1"/>
        <v>14</v>
      </c>
      <c r="O34">
        <f t="shared" si="1"/>
        <v>4</v>
      </c>
      <c r="P34">
        <f t="shared" si="1"/>
        <v>4</v>
      </c>
      <c r="Q34">
        <f t="shared" si="1"/>
        <v>5</v>
      </c>
      <c r="R34">
        <f t="shared" si="1"/>
        <v>3</v>
      </c>
      <c r="S34">
        <f t="shared" si="1"/>
        <v>1</v>
      </c>
      <c r="T34">
        <f t="shared" si="1"/>
        <v>6</v>
      </c>
      <c r="U34">
        <f t="shared" si="1"/>
        <v>9</v>
      </c>
      <c r="V34">
        <f t="shared" si="1"/>
        <v>11</v>
      </c>
      <c r="W34">
        <f t="shared" si="1"/>
        <v>9</v>
      </c>
    </row>
    <row r="35" spans="1:25" x14ac:dyDescent="0.25">
      <c r="D35">
        <f>COUNTA(D20:D33)</f>
        <v>14</v>
      </c>
    </row>
    <row r="36" spans="1:25" ht="13" x14ac:dyDescent="0.25">
      <c r="A36" t="s">
        <v>298</v>
      </c>
      <c r="B36" s="2" t="s">
        <v>299</v>
      </c>
      <c r="C36" s="2" t="s">
        <v>299</v>
      </c>
    </row>
    <row r="37" spans="1:25" x14ac:dyDescent="0.25">
      <c r="A37">
        <v>80</v>
      </c>
      <c r="B37" t="s">
        <v>198</v>
      </c>
      <c r="C37" t="s">
        <v>199</v>
      </c>
      <c r="D37" t="s">
        <v>15</v>
      </c>
      <c r="E37" t="s">
        <v>200</v>
      </c>
      <c r="F37" t="s">
        <v>200</v>
      </c>
      <c r="G37" t="s">
        <v>201</v>
      </c>
      <c r="H37" t="s">
        <v>201</v>
      </c>
      <c r="I37" t="s">
        <v>201</v>
      </c>
      <c r="J37">
        <v>1</v>
      </c>
      <c r="L37">
        <v>1</v>
      </c>
      <c r="M37">
        <v>1</v>
      </c>
      <c r="N37">
        <v>1</v>
      </c>
      <c r="T37">
        <v>1</v>
      </c>
      <c r="U37">
        <v>1</v>
      </c>
      <c r="V37">
        <v>1</v>
      </c>
      <c r="W37">
        <v>1</v>
      </c>
      <c r="X37" t="s">
        <v>202</v>
      </c>
    </row>
    <row r="38" spans="1:25" x14ac:dyDescent="0.25">
      <c r="A38">
        <v>113</v>
      </c>
      <c r="B38" t="s">
        <v>266</v>
      </c>
      <c r="C38" t="s">
        <v>267</v>
      </c>
      <c r="D38" t="s">
        <v>15</v>
      </c>
      <c r="E38" t="s">
        <v>268</v>
      </c>
      <c r="F38" t="s">
        <v>269</v>
      </c>
      <c r="G38" t="s">
        <v>270</v>
      </c>
      <c r="H38" t="s">
        <v>106</v>
      </c>
      <c r="I38" t="s">
        <v>226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U38">
        <v>1</v>
      </c>
      <c r="V38">
        <v>1</v>
      </c>
      <c r="X38" t="s">
        <v>271</v>
      </c>
    </row>
    <row r="39" spans="1:25" x14ac:dyDescent="0.25">
      <c r="A39">
        <v>31</v>
      </c>
      <c r="B39" t="s">
        <v>88</v>
      </c>
      <c r="C39" t="s">
        <v>89</v>
      </c>
      <c r="D39" t="s">
        <v>15</v>
      </c>
      <c r="E39" t="s">
        <v>90</v>
      </c>
      <c r="F39" t="s">
        <v>91</v>
      </c>
      <c r="G39" t="s">
        <v>92</v>
      </c>
      <c r="H39" t="s">
        <v>93</v>
      </c>
      <c r="I39" t="s">
        <v>35</v>
      </c>
      <c r="J39">
        <v>1</v>
      </c>
      <c r="N39">
        <v>1</v>
      </c>
      <c r="P39">
        <v>1</v>
      </c>
      <c r="Q39">
        <v>1</v>
      </c>
      <c r="U39">
        <v>1</v>
      </c>
      <c r="V39">
        <v>1</v>
      </c>
      <c r="W39">
        <v>1</v>
      </c>
      <c r="Y39" t="s">
        <v>94</v>
      </c>
    </row>
    <row r="40" spans="1:25" ht="13" x14ac:dyDescent="0.25">
      <c r="A40">
        <v>65</v>
      </c>
      <c r="B40" t="s">
        <v>170</v>
      </c>
      <c r="C40" t="s">
        <v>171</v>
      </c>
      <c r="D40" t="s">
        <v>15</v>
      </c>
      <c r="E40" t="s">
        <v>172</v>
      </c>
      <c r="F40" t="s">
        <v>172</v>
      </c>
      <c r="G40">
        <v>2101210022</v>
      </c>
      <c r="H40" t="s">
        <v>168</v>
      </c>
      <c r="I40" t="s">
        <v>173</v>
      </c>
      <c r="J40">
        <v>1</v>
      </c>
      <c r="L40">
        <v>1</v>
      </c>
      <c r="N40">
        <v>1</v>
      </c>
      <c r="O40">
        <v>1</v>
      </c>
      <c r="T40">
        <v>1</v>
      </c>
      <c r="U40">
        <v>1</v>
      </c>
      <c r="X40" s="2" t="s">
        <v>311</v>
      </c>
      <c r="Y40" t="s">
        <v>174</v>
      </c>
    </row>
    <row r="41" spans="1:25" x14ac:dyDescent="0.25">
      <c r="A41">
        <v>85</v>
      </c>
      <c r="B41" t="s">
        <v>210</v>
      </c>
      <c r="C41" t="s">
        <v>211</v>
      </c>
      <c r="D41" t="s">
        <v>15</v>
      </c>
      <c r="E41" t="s">
        <v>212</v>
      </c>
      <c r="F41" t="s">
        <v>213</v>
      </c>
      <c r="G41" t="s">
        <v>214</v>
      </c>
      <c r="H41" t="s">
        <v>168</v>
      </c>
      <c r="I41" t="s">
        <v>27</v>
      </c>
      <c r="J41">
        <v>1</v>
      </c>
      <c r="K41">
        <v>1</v>
      </c>
      <c r="N41">
        <v>1</v>
      </c>
      <c r="T41">
        <v>1</v>
      </c>
      <c r="U41" t="s">
        <v>140</v>
      </c>
      <c r="V41" t="s">
        <v>140</v>
      </c>
      <c r="W41" t="s">
        <v>140</v>
      </c>
      <c r="Y41" t="s">
        <v>87</v>
      </c>
    </row>
    <row r="42" spans="1:25" ht="13" x14ac:dyDescent="0.25">
      <c r="A42">
        <v>49</v>
      </c>
      <c r="B42" t="s">
        <v>123</v>
      </c>
      <c r="C42" t="s">
        <v>124</v>
      </c>
      <c r="D42" t="s">
        <v>15</v>
      </c>
      <c r="E42" t="s">
        <v>125</v>
      </c>
      <c r="F42" t="s">
        <v>126</v>
      </c>
      <c r="G42" t="s">
        <v>127</v>
      </c>
      <c r="H42" t="s">
        <v>110</v>
      </c>
      <c r="I42" t="s">
        <v>27</v>
      </c>
      <c r="J42">
        <v>1</v>
      </c>
      <c r="N42">
        <v>1</v>
      </c>
      <c r="Q42">
        <v>1</v>
      </c>
      <c r="U42">
        <v>1</v>
      </c>
      <c r="V42">
        <v>1</v>
      </c>
      <c r="W42">
        <v>1</v>
      </c>
      <c r="X42" s="2" t="s">
        <v>313</v>
      </c>
      <c r="Y42" t="s">
        <v>128</v>
      </c>
    </row>
    <row r="43" spans="1:25" x14ac:dyDescent="0.25">
      <c r="A43">
        <v>29</v>
      </c>
      <c r="B43" t="s">
        <v>81</v>
      </c>
      <c r="C43" t="s">
        <v>82</v>
      </c>
      <c r="D43" t="s">
        <v>46</v>
      </c>
      <c r="E43" t="s">
        <v>83</v>
      </c>
      <c r="F43" t="s">
        <v>84</v>
      </c>
      <c r="G43" t="s">
        <v>85</v>
      </c>
      <c r="H43" t="s">
        <v>86</v>
      </c>
      <c r="I43" t="s">
        <v>35</v>
      </c>
      <c r="J43">
        <v>1</v>
      </c>
      <c r="N43">
        <v>1</v>
      </c>
      <c r="P43">
        <v>1</v>
      </c>
      <c r="U43">
        <v>1</v>
      </c>
      <c r="V43">
        <v>1</v>
      </c>
      <c r="W43">
        <v>1</v>
      </c>
      <c r="Y43" t="s">
        <v>87</v>
      </c>
    </row>
    <row r="44" spans="1:25" x14ac:dyDescent="0.25">
      <c r="A44">
        <v>8</v>
      </c>
      <c r="B44" t="s">
        <v>21</v>
      </c>
      <c r="C44" t="s">
        <v>22</v>
      </c>
      <c r="D44" t="s">
        <v>15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>
        <v>1</v>
      </c>
      <c r="N44">
        <v>1</v>
      </c>
      <c r="O44">
        <v>1</v>
      </c>
      <c r="Q44">
        <v>1</v>
      </c>
      <c r="U44">
        <v>1</v>
      </c>
      <c r="V44">
        <v>1</v>
      </c>
      <c r="W44">
        <v>1</v>
      </c>
      <c r="Y44" t="s">
        <v>28</v>
      </c>
    </row>
    <row r="45" spans="1:25" x14ac:dyDescent="0.25">
      <c r="A45">
        <v>55</v>
      </c>
      <c r="B45" t="s">
        <v>142</v>
      </c>
      <c r="C45" t="s">
        <v>143</v>
      </c>
      <c r="D45" t="s">
        <v>46</v>
      </c>
      <c r="E45" t="s">
        <v>144</v>
      </c>
      <c r="F45" t="s">
        <v>145</v>
      </c>
      <c r="G45">
        <v>1710307205</v>
      </c>
      <c r="H45" t="s">
        <v>109</v>
      </c>
      <c r="I45" t="s">
        <v>146</v>
      </c>
      <c r="J45">
        <v>1</v>
      </c>
      <c r="K45">
        <v>1</v>
      </c>
      <c r="N45">
        <v>1</v>
      </c>
      <c r="T45">
        <v>1</v>
      </c>
      <c r="U45" t="s">
        <v>140</v>
      </c>
      <c r="V45" t="s">
        <v>140</v>
      </c>
      <c r="W45" t="s">
        <v>140</v>
      </c>
      <c r="Y45" t="s">
        <v>87</v>
      </c>
    </row>
    <row r="46" spans="1:25" x14ac:dyDescent="0.25">
      <c r="A46">
        <v>105</v>
      </c>
      <c r="B46" t="s">
        <v>250</v>
      </c>
      <c r="C46" t="s">
        <v>251</v>
      </c>
      <c r="D46" t="s">
        <v>46</v>
      </c>
      <c r="E46" t="s">
        <v>252</v>
      </c>
      <c r="F46" t="s">
        <v>253</v>
      </c>
      <c r="G46" t="s">
        <v>254</v>
      </c>
      <c r="H46" t="s">
        <v>34</v>
      </c>
      <c r="I46" t="s">
        <v>35</v>
      </c>
      <c r="J46">
        <v>1</v>
      </c>
      <c r="N46">
        <v>1</v>
      </c>
      <c r="Q46">
        <v>1</v>
      </c>
      <c r="U46">
        <v>1</v>
      </c>
      <c r="V46">
        <v>1</v>
      </c>
      <c r="W46">
        <v>1</v>
      </c>
      <c r="Y46" t="s">
        <v>255</v>
      </c>
    </row>
    <row r="47" spans="1:25" ht="13" x14ac:dyDescent="0.25">
      <c r="A47">
        <v>21</v>
      </c>
      <c r="B47" t="s">
        <v>59</v>
      </c>
      <c r="C47" t="s">
        <v>60</v>
      </c>
      <c r="D47" t="s">
        <v>15</v>
      </c>
      <c r="E47" t="s">
        <v>61</v>
      </c>
      <c r="F47" t="s">
        <v>62</v>
      </c>
      <c r="G47" t="s">
        <v>63</v>
      </c>
      <c r="H47" t="s">
        <v>64</v>
      </c>
      <c r="I47" t="s">
        <v>27</v>
      </c>
      <c r="J47">
        <v>1</v>
      </c>
      <c r="L47">
        <v>1</v>
      </c>
      <c r="N47">
        <v>1</v>
      </c>
      <c r="P47">
        <v>1</v>
      </c>
      <c r="Q47">
        <v>1</v>
      </c>
      <c r="U47">
        <v>1</v>
      </c>
      <c r="V47">
        <v>1</v>
      </c>
      <c r="W47">
        <v>1</v>
      </c>
      <c r="X47" s="2" t="s">
        <v>300</v>
      </c>
      <c r="Y47" t="s">
        <v>65</v>
      </c>
    </row>
    <row r="48" spans="1:25" s="6" customFormat="1" ht="13" x14ac:dyDescent="0.25">
      <c r="A48" s="6">
        <v>93</v>
      </c>
      <c r="B48" s="6" t="s">
        <v>231</v>
      </c>
      <c r="C48" s="6" t="s">
        <v>232</v>
      </c>
      <c r="D48" s="7" t="s">
        <v>318</v>
      </c>
      <c r="E48" s="6" t="s">
        <v>233</v>
      </c>
      <c r="F48" s="6" t="s">
        <v>234</v>
      </c>
      <c r="G48" s="6" t="s">
        <v>235</v>
      </c>
      <c r="H48" s="6" t="s">
        <v>236</v>
      </c>
      <c r="I48" s="6" t="s">
        <v>35</v>
      </c>
      <c r="J48" s="6">
        <v>1</v>
      </c>
      <c r="N48" s="6">
        <v>1</v>
      </c>
      <c r="P48" s="6">
        <v>1</v>
      </c>
      <c r="W48" s="6">
        <v>1</v>
      </c>
      <c r="Y48" s="6" t="s">
        <v>237</v>
      </c>
    </row>
    <row r="49" spans="1:25" x14ac:dyDescent="0.25">
      <c r="A49">
        <v>95</v>
      </c>
      <c r="B49" t="s">
        <v>245</v>
      </c>
      <c r="C49" t="s">
        <v>246</v>
      </c>
      <c r="D49" t="s">
        <v>15</v>
      </c>
      <c r="E49" t="s">
        <v>247</v>
      </c>
      <c r="F49" t="s">
        <v>248</v>
      </c>
      <c r="G49" t="s">
        <v>249</v>
      </c>
      <c r="H49" t="s">
        <v>71</v>
      </c>
      <c r="I49" t="s">
        <v>27</v>
      </c>
      <c r="J49">
        <v>1</v>
      </c>
      <c r="K49">
        <v>1</v>
      </c>
      <c r="N49">
        <v>1</v>
      </c>
      <c r="T49">
        <v>1</v>
      </c>
      <c r="U49">
        <v>1</v>
      </c>
      <c r="Y49" t="s">
        <v>87</v>
      </c>
    </row>
    <row r="50" spans="1:25" x14ac:dyDescent="0.25">
      <c r="A50">
        <f>SUM(A37:A49)</f>
        <v>829</v>
      </c>
      <c r="B50">
        <f>SUM(B37:B49)</f>
        <v>0</v>
      </c>
      <c r="C50">
        <f>SUM(C37:C49)</f>
        <v>0</v>
      </c>
      <c r="D50">
        <f>COUNTIF(D37:D49,"男")</f>
        <v>10</v>
      </c>
      <c r="E50">
        <f t="shared" ref="E50:W50" si="2">SUM(E37:E49)</f>
        <v>0</v>
      </c>
      <c r="F50">
        <f t="shared" si="2"/>
        <v>0</v>
      </c>
      <c r="G50">
        <f t="shared" si="2"/>
        <v>3811517227</v>
      </c>
      <c r="H50">
        <f t="shared" si="2"/>
        <v>0</v>
      </c>
      <c r="I50">
        <f t="shared" si="2"/>
        <v>0</v>
      </c>
      <c r="J50">
        <f t="shared" si="2"/>
        <v>12</v>
      </c>
      <c r="K50">
        <f t="shared" si="2"/>
        <v>3</v>
      </c>
      <c r="L50">
        <f t="shared" si="2"/>
        <v>4</v>
      </c>
      <c r="M50">
        <f t="shared" si="2"/>
        <v>2</v>
      </c>
      <c r="N50">
        <f t="shared" si="2"/>
        <v>13</v>
      </c>
      <c r="O50">
        <f t="shared" si="2"/>
        <v>3</v>
      </c>
      <c r="P50">
        <f t="shared" si="2"/>
        <v>5</v>
      </c>
      <c r="Q50">
        <f t="shared" si="2"/>
        <v>6</v>
      </c>
      <c r="R50">
        <f t="shared" si="2"/>
        <v>0</v>
      </c>
      <c r="S50">
        <f t="shared" si="2"/>
        <v>0</v>
      </c>
      <c r="T50">
        <f t="shared" si="2"/>
        <v>5</v>
      </c>
      <c r="U50">
        <f t="shared" si="2"/>
        <v>10</v>
      </c>
      <c r="V50">
        <f t="shared" si="2"/>
        <v>8</v>
      </c>
      <c r="W50">
        <f t="shared" si="2"/>
        <v>8</v>
      </c>
    </row>
    <row r="51" spans="1:25" x14ac:dyDescent="0.25">
      <c r="D51">
        <f>COUNTA(D37:D49)</f>
        <v>13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zoomScale="92" workbookViewId="0">
      <selection activeCell="N21" sqref="N21"/>
    </sheetView>
  </sheetViews>
  <sheetFormatPr defaultColWidth="9.1796875" defaultRowHeight="12.5" x14ac:dyDescent="0.25"/>
  <cols>
    <col min="1" max="1" width="4.26953125" customWidth="1"/>
    <col min="2" max="2" width="17" hidden="1" customWidth="1"/>
    <col min="3" max="3" width="12.90625" customWidth="1"/>
    <col min="4" max="4" width="6.54296875" customWidth="1"/>
    <col min="5" max="5" width="20.453125" customWidth="1"/>
    <col min="6" max="6" width="12.26953125" customWidth="1"/>
    <col min="7" max="7" width="11.26953125" customWidth="1"/>
    <col min="8" max="8" width="19.81640625" customWidth="1"/>
    <col min="9" max="9" width="4.90625" customWidth="1"/>
    <col min="10" max="10" width="3.1796875" hidden="1" customWidth="1"/>
    <col min="11" max="11" width="4.81640625" customWidth="1"/>
    <col min="12" max="12" width="3.36328125" customWidth="1"/>
    <col min="13" max="13" width="11.36328125" hidden="1" customWidth="1"/>
    <col min="14" max="14" width="4.90625" customWidth="1"/>
    <col min="15" max="15" width="5.81640625" customWidth="1"/>
    <col min="16" max="16" width="5.26953125" customWidth="1"/>
    <col min="17" max="17" width="9.26953125" hidden="1" customWidth="1"/>
    <col min="18" max="18" width="9" hidden="1" customWidth="1"/>
    <col min="19" max="19" width="6" hidden="1" customWidth="1"/>
    <col min="20" max="20" width="5.6328125" hidden="1" customWidth="1"/>
    <col min="21" max="21" width="7.7265625" hidden="1" customWidth="1"/>
    <col min="22" max="22" width="5.90625" hidden="1" customWidth="1"/>
    <col min="23" max="23" width="13.36328125" customWidth="1"/>
    <col min="24" max="24" width="107" customWidth="1"/>
  </cols>
  <sheetData>
    <row r="1" spans="1:24" ht="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315</v>
      </c>
      <c r="L1" s="2" t="s">
        <v>316</v>
      </c>
      <c r="M1" t="s">
        <v>10</v>
      </c>
      <c r="N1" t="s">
        <v>11</v>
      </c>
      <c r="O1" s="2" t="s">
        <v>302</v>
      </c>
      <c r="P1" s="2" t="s">
        <v>303</v>
      </c>
      <c r="Q1" s="2" t="s">
        <v>304</v>
      </c>
      <c r="R1" s="2" t="s">
        <v>305</v>
      </c>
      <c r="S1" s="2" t="s">
        <v>306</v>
      </c>
      <c r="T1" s="2" t="s">
        <v>307</v>
      </c>
      <c r="U1" s="2" t="s">
        <v>308</v>
      </c>
      <c r="V1" s="2" t="s">
        <v>309</v>
      </c>
      <c r="W1" s="2"/>
      <c r="X1" t="s">
        <v>12</v>
      </c>
    </row>
    <row r="2" spans="1:24" s="1" customFormat="1" x14ac:dyDescent="0.25">
      <c r="A2" s="1">
        <v>8</v>
      </c>
      <c r="B2" s="1" t="s">
        <v>21</v>
      </c>
      <c r="C2" s="1" t="s">
        <v>22</v>
      </c>
      <c r="D2" s="1" t="s">
        <v>15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1</v>
      </c>
      <c r="M2" s="1">
        <v>1</v>
      </c>
      <c r="N2" s="1">
        <v>1</v>
      </c>
      <c r="P2" s="1">
        <v>1</v>
      </c>
      <c r="T2" s="1">
        <v>1</v>
      </c>
      <c r="U2" s="1">
        <v>1</v>
      </c>
      <c r="V2" s="1">
        <v>1</v>
      </c>
      <c r="X2" s="1" t="s">
        <v>28</v>
      </c>
    </row>
    <row r="3" spans="1:24" s="1" customFormat="1" x14ac:dyDescent="0.25">
      <c r="A3" s="1">
        <v>11</v>
      </c>
      <c r="B3" s="1" t="s">
        <v>37</v>
      </c>
      <c r="C3" s="1" t="s">
        <v>38</v>
      </c>
      <c r="D3" s="1" t="s">
        <v>15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35</v>
      </c>
      <c r="J3" s="1">
        <v>1</v>
      </c>
      <c r="M3" s="1">
        <v>1</v>
      </c>
      <c r="N3" s="1">
        <v>1</v>
      </c>
      <c r="S3" s="1">
        <v>1</v>
      </c>
      <c r="T3" s="1">
        <v>1</v>
      </c>
      <c r="U3" s="1">
        <v>1</v>
      </c>
      <c r="V3" s="1">
        <v>1</v>
      </c>
      <c r="X3" s="1" t="s">
        <v>43</v>
      </c>
    </row>
    <row r="4" spans="1:24" s="1" customFormat="1" x14ac:dyDescent="0.25">
      <c r="A4" s="1">
        <v>13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35</v>
      </c>
      <c r="J4" s="1">
        <v>1</v>
      </c>
      <c r="M4" s="1">
        <v>1</v>
      </c>
      <c r="N4" s="1">
        <v>1</v>
      </c>
      <c r="Q4" s="1">
        <v>1</v>
      </c>
      <c r="T4" s="1">
        <v>1</v>
      </c>
      <c r="U4" s="1">
        <v>1</v>
      </c>
      <c r="V4" s="1">
        <v>1</v>
      </c>
      <c r="X4" s="1" t="s">
        <v>51</v>
      </c>
    </row>
    <row r="5" spans="1:24" x14ac:dyDescent="0.25">
      <c r="A5" s="1">
        <v>28</v>
      </c>
      <c r="B5" s="1" t="s">
        <v>73</v>
      </c>
      <c r="C5" s="1" t="s">
        <v>74</v>
      </c>
      <c r="D5" s="1" t="s">
        <v>15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>
        <v>1</v>
      </c>
      <c r="K5" s="1"/>
      <c r="L5" s="1"/>
      <c r="M5" s="1">
        <v>1</v>
      </c>
      <c r="N5" s="1">
        <v>1</v>
      </c>
      <c r="O5" s="1"/>
      <c r="P5" s="1">
        <v>1</v>
      </c>
      <c r="Q5" s="1"/>
      <c r="R5" s="1"/>
      <c r="S5" s="1"/>
      <c r="T5" s="1">
        <v>1</v>
      </c>
      <c r="U5" s="1">
        <v>1</v>
      </c>
      <c r="V5" s="1">
        <v>1</v>
      </c>
      <c r="W5" s="1"/>
      <c r="X5" s="1" t="s">
        <v>80</v>
      </c>
    </row>
    <row r="6" spans="1:24" s="1" customFormat="1" x14ac:dyDescent="0.25">
      <c r="A6" s="1">
        <v>35</v>
      </c>
      <c r="B6" s="1" t="s">
        <v>95</v>
      </c>
      <c r="C6" s="1" t="s">
        <v>96</v>
      </c>
      <c r="D6" s="1" t="s">
        <v>15</v>
      </c>
      <c r="E6" s="1" t="s">
        <v>97</v>
      </c>
      <c r="F6" s="1" t="s">
        <v>98</v>
      </c>
      <c r="G6" s="1">
        <v>2000013104</v>
      </c>
      <c r="H6" s="1" t="s">
        <v>99</v>
      </c>
      <c r="I6" s="1" t="s">
        <v>100</v>
      </c>
      <c r="J6" s="1">
        <v>1</v>
      </c>
      <c r="M6" s="1">
        <v>1</v>
      </c>
      <c r="N6" s="1">
        <v>1</v>
      </c>
      <c r="O6" s="1">
        <v>1</v>
      </c>
      <c r="P6" s="1">
        <v>1</v>
      </c>
      <c r="T6" s="1">
        <v>1</v>
      </c>
      <c r="U6" s="1">
        <v>1</v>
      </c>
      <c r="V6" s="1">
        <v>1</v>
      </c>
      <c r="X6" s="1" t="s">
        <v>101</v>
      </c>
    </row>
    <row r="7" spans="1:24" s="4" customFormat="1" ht="13" x14ac:dyDescent="0.25">
      <c r="A7" s="4">
        <v>48</v>
      </c>
      <c r="B7" s="4" t="s">
        <v>117</v>
      </c>
      <c r="C7" s="4" t="s">
        <v>118</v>
      </c>
      <c r="D7" s="4" t="s">
        <v>15</v>
      </c>
      <c r="E7" s="4" t="s">
        <v>119</v>
      </c>
      <c r="F7" s="4" t="s">
        <v>120</v>
      </c>
      <c r="G7" s="4" t="s">
        <v>121</v>
      </c>
      <c r="H7" s="4" t="s">
        <v>71</v>
      </c>
      <c r="I7" s="4" t="s">
        <v>27</v>
      </c>
      <c r="J7" s="4">
        <v>1</v>
      </c>
      <c r="M7" s="4">
        <v>1</v>
      </c>
      <c r="N7" s="4">
        <v>1</v>
      </c>
      <c r="Q7" s="4">
        <v>1</v>
      </c>
      <c r="T7" s="4">
        <v>1</v>
      </c>
      <c r="U7" s="4">
        <v>1</v>
      </c>
      <c r="V7" s="4">
        <v>1</v>
      </c>
      <c r="W7" s="5" t="s">
        <v>310</v>
      </c>
      <c r="X7" s="4" t="s">
        <v>122</v>
      </c>
    </row>
    <row r="8" spans="1:24" s="4" customFormat="1" ht="13" x14ac:dyDescent="0.25">
      <c r="A8" s="4">
        <v>54</v>
      </c>
      <c r="B8" s="4" t="s">
        <v>135</v>
      </c>
      <c r="C8" s="4" t="s">
        <v>136</v>
      </c>
      <c r="D8" s="4" t="s">
        <v>46</v>
      </c>
      <c r="E8" s="4" t="s">
        <v>137</v>
      </c>
      <c r="F8" s="4" t="s">
        <v>138</v>
      </c>
      <c r="G8" s="4" t="s">
        <v>139</v>
      </c>
      <c r="H8" s="4" t="s">
        <v>34</v>
      </c>
      <c r="I8" s="4" t="s">
        <v>35</v>
      </c>
      <c r="J8" s="4">
        <v>1</v>
      </c>
      <c r="M8" s="4">
        <v>1</v>
      </c>
      <c r="N8" s="4">
        <v>1</v>
      </c>
      <c r="S8" s="4">
        <v>1</v>
      </c>
      <c r="T8" s="4" t="s">
        <v>140</v>
      </c>
      <c r="U8" s="4" t="s">
        <v>140</v>
      </c>
      <c r="V8" s="4" t="s">
        <v>140</v>
      </c>
      <c r="W8" s="5" t="s">
        <v>310</v>
      </c>
      <c r="X8" s="4" t="s">
        <v>141</v>
      </c>
    </row>
    <row r="9" spans="1:24" s="1" customFormat="1" x14ac:dyDescent="0.25">
      <c r="A9" s="1">
        <v>58</v>
      </c>
      <c r="B9" s="1" t="s">
        <v>153</v>
      </c>
      <c r="C9" s="1" t="s">
        <v>154</v>
      </c>
      <c r="D9" s="1" t="s">
        <v>15</v>
      </c>
      <c r="E9" s="1" t="s">
        <v>155</v>
      </c>
      <c r="F9" s="1" t="s">
        <v>156</v>
      </c>
      <c r="G9" s="1" t="s">
        <v>157</v>
      </c>
      <c r="H9" s="1" t="s">
        <v>110</v>
      </c>
      <c r="I9" s="1" t="s">
        <v>35</v>
      </c>
      <c r="J9" s="1">
        <v>1</v>
      </c>
      <c r="M9" s="1">
        <v>1</v>
      </c>
      <c r="N9" s="1">
        <v>1</v>
      </c>
      <c r="S9" s="1">
        <v>1</v>
      </c>
      <c r="T9" s="1">
        <v>1</v>
      </c>
      <c r="X9" s="1" t="s">
        <v>158</v>
      </c>
    </row>
    <row r="10" spans="1:24" s="1" customFormat="1" x14ac:dyDescent="0.25">
      <c r="A10" s="1">
        <v>61</v>
      </c>
      <c r="B10" s="1" t="s">
        <v>159</v>
      </c>
      <c r="C10" s="1" t="s">
        <v>160</v>
      </c>
      <c r="D10" s="1" t="s">
        <v>15</v>
      </c>
      <c r="E10" s="1" t="s">
        <v>161</v>
      </c>
      <c r="F10" s="1" t="s">
        <v>162</v>
      </c>
      <c r="G10" s="1" t="s">
        <v>163</v>
      </c>
      <c r="H10" s="1" t="s">
        <v>99</v>
      </c>
      <c r="I10" s="1" t="s">
        <v>35</v>
      </c>
      <c r="J10" s="1">
        <v>1</v>
      </c>
      <c r="M10" s="1">
        <v>1</v>
      </c>
      <c r="N10" s="1">
        <v>1</v>
      </c>
      <c r="S10" s="1">
        <v>1</v>
      </c>
      <c r="T10" s="1" t="s">
        <v>140</v>
      </c>
      <c r="U10" s="1" t="s">
        <v>140</v>
      </c>
      <c r="V10" s="1" t="s">
        <v>140</v>
      </c>
      <c r="X10" s="1" t="s">
        <v>164</v>
      </c>
    </row>
    <row r="11" spans="1:24" s="1" customFormat="1" ht="13" x14ac:dyDescent="0.25">
      <c r="A11" s="1">
        <v>65</v>
      </c>
      <c r="B11" s="1" t="s">
        <v>170</v>
      </c>
      <c r="C11" s="1" t="s">
        <v>171</v>
      </c>
      <c r="D11" s="1" t="s">
        <v>15</v>
      </c>
      <c r="E11" s="1" t="s">
        <v>172</v>
      </c>
      <c r="F11" s="1" t="s">
        <v>172</v>
      </c>
      <c r="G11" s="1">
        <v>2101210022</v>
      </c>
      <c r="H11" s="1" t="s">
        <v>168</v>
      </c>
      <c r="I11" s="1" t="s">
        <v>173</v>
      </c>
      <c r="J11" s="1">
        <v>1</v>
      </c>
      <c r="K11" s="1">
        <v>1</v>
      </c>
      <c r="M11" s="1">
        <v>1</v>
      </c>
      <c r="N11" s="1">
        <v>1</v>
      </c>
      <c r="S11" s="1">
        <v>1</v>
      </c>
      <c r="T11" s="1">
        <v>1</v>
      </c>
      <c r="W11" s="3" t="s">
        <v>311</v>
      </c>
      <c r="X11" s="1" t="s">
        <v>174</v>
      </c>
    </row>
    <row r="12" spans="1:24" s="4" customFormat="1" ht="13" x14ac:dyDescent="0.25">
      <c r="A12" s="4">
        <v>67</v>
      </c>
      <c r="B12" s="4" t="s">
        <v>175</v>
      </c>
      <c r="C12" s="4" t="s">
        <v>176</v>
      </c>
      <c r="D12" s="4" t="s">
        <v>15</v>
      </c>
      <c r="E12" s="4" t="s">
        <v>177</v>
      </c>
      <c r="F12" s="4" t="s">
        <v>178</v>
      </c>
      <c r="G12" s="4" t="s">
        <v>179</v>
      </c>
      <c r="H12" s="4" t="s">
        <v>110</v>
      </c>
      <c r="I12" s="4" t="s">
        <v>35</v>
      </c>
      <c r="J12" s="4">
        <v>1</v>
      </c>
      <c r="M12" s="4">
        <v>1</v>
      </c>
      <c r="N12" s="4">
        <v>1</v>
      </c>
      <c r="R12" s="4">
        <v>1</v>
      </c>
      <c r="T12" s="4" t="s">
        <v>140</v>
      </c>
      <c r="U12" s="4" t="s">
        <v>140</v>
      </c>
      <c r="V12" s="4" t="s">
        <v>140</v>
      </c>
      <c r="W12" s="5" t="s">
        <v>310</v>
      </c>
      <c r="X12" s="4" t="s">
        <v>180</v>
      </c>
    </row>
    <row r="13" spans="1:24" s="4" customFormat="1" ht="13" x14ac:dyDescent="0.25">
      <c r="A13" s="4">
        <v>78</v>
      </c>
      <c r="B13" s="4" t="s">
        <v>187</v>
      </c>
      <c r="C13" s="4" t="s">
        <v>188</v>
      </c>
      <c r="D13" s="4" t="s">
        <v>15</v>
      </c>
      <c r="E13" s="4" t="s">
        <v>189</v>
      </c>
      <c r="F13" s="4" t="s">
        <v>190</v>
      </c>
      <c r="G13" s="4" t="s">
        <v>191</v>
      </c>
      <c r="H13" s="4" t="s">
        <v>71</v>
      </c>
      <c r="I13" s="4" t="s">
        <v>27</v>
      </c>
      <c r="K13" s="4">
        <v>1</v>
      </c>
      <c r="M13" s="4">
        <v>1</v>
      </c>
      <c r="N13" s="4">
        <v>1</v>
      </c>
      <c r="O13" s="4">
        <v>1</v>
      </c>
      <c r="P13" s="4">
        <v>1</v>
      </c>
      <c r="T13" s="4">
        <v>1</v>
      </c>
      <c r="U13" s="4">
        <v>1</v>
      </c>
      <c r="W13" s="5" t="s">
        <v>317</v>
      </c>
      <c r="X13" s="4" t="s">
        <v>87</v>
      </c>
    </row>
    <row r="14" spans="1:24" s="1" customFormat="1" x14ac:dyDescent="0.25">
      <c r="A14" s="1">
        <v>113</v>
      </c>
      <c r="B14" s="1" t="s">
        <v>266</v>
      </c>
      <c r="C14" s="1" t="s">
        <v>267</v>
      </c>
      <c r="D14" s="1" t="s">
        <v>15</v>
      </c>
      <c r="E14" s="1" t="s">
        <v>268</v>
      </c>
      <c r="F14" s="1" t="s">
        <v>269</v>
      </c>
      <c r="G14" s="1" t="s">
        <v>270</v>
      </c>
      <c r="H14" s="1" t="s">
        <v>106</v>
      </c>
      <c r="I14" s="1" t="s">
        <v>226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T14" s="1">
        <v>1</v>
      </c>
      <c r="U14" s="1">
        <v>1</v>
      </c>
      <c r="X14" s="1" t="s">
        <v>271</v>
      </c>
    </row>
    <row r="15" spans="1:24" s="1" customFormat="1" x14ac:dyDescent="0.25">
      <c r="A15" s="1">
        <v>120</v>
      </c>
      <c r="B15" s="1" t="s">
        <v>284</v>
      </c>
      <c r="C15" s="1" t="s">
        <v>285</v>
      </c>
      <c r="D15" s="1" t="s">
        <v>15</v>
      </c>
      <c r="E15" s="1" t="s">
        <v>286</v>
      </c>
      <c r="F15" s="1" t="s">
        <v>287</v>
      </c>
      <c r="G15" s="1" t="s">
        <v>288</v>
      </c>
      <c r="H15" s="1" t="s">
        <v>26</v>
      </c>
      <c r="I15" s="1" t="s">
        <v>27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T15" s="1">
        <v>1</v>
      </c>
      <c r="U15" s="1">
        <v>1</v>
      </c>
      <c r="V15" s="1">
        <v>1</v>
      </c>
      <c r="X15" s="1" t="s">
        <v>289</v>
      </c>
    </row>
    <row r="16" spans="1:24" s="1" customFormat="1" ht="13" x14ac:dyDescent="0.25">
      <c r="A16" s="1">
        <v>6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>
        <v>2101111582</v>
      </c>
      <c r="H16" s="1" t="s">
        <v>18</v>
      </c>
      <c r="I16" s="1" t="s">
        <v>19</v>
      </c>
      <c r="K16" s="1">
        <v>1</v>
      </c>
      <c r="L16" s="1">
        <v>1</v>
      </c>
      <c r="M16" s="1">
        <v>1</v>
      </c>
      <c r="O16" s="1">
        <v>1</v>
      </c>
      <c r="P16" s="1">
        <v>1</v>
      </c>
      <c r="T16" s="1">
        <v>1</v>
      </c>
      <c r="U16" s="1">
        <v>1</v>
      </c>
      <c r="V16" s="1">
        <v>1</v>
      </c>
      <c r="W16" s="3" t="s">
        <v>312</v>
      </c>
      <c r="X16" s="1" t="s">
        <v>20</v>
      </c>
    </row>
    <row r="17" spans="1:24" s="6" customFormat="1" x14ac:dyDescent="0.25">
      <c r="A17" s="6">
        <v>10</v>
      </c>
      <c r="B17" s="6" t="s">
        <v>29</v>
      </c>
      <c r="C17" s="6" t="s">
        <v>30</v>
      </c>
      <c r="D17" s="6" t="s">
        <v>15</v>
      </c>
      <c r="E17" s="6" t="s">
        <v>31</v>
      </c>
      <c r="F17" s="6" t="s">
        <v>32</v>
      </c>
      <c r="G17" s="6" t="s">
        <v>33</v>
      </c>
      <c r="H17" s="6" t="s">
        <v>34</v>
      </c>
      <c r="I17" s="6" t="s">
        <v>35</v>
      </c>
      <c r="J17" s="6">
        <v>1</v>
      </c>
      <c r="M17" s="6">
        <v>1</v>
      </c>
      <c r="S17" s="6">
        <v>1</v>
      </c>
      <c r="U17" s="6">
        <v>1</v>
      </c>
      <c r="V17" s="6">
        <v>1</v>
      </c>
      <c r="X17" s="6" t="s">
        <v>36</v>
      </c>
    </row>
    <row r="18" spans="1:24" s="1" customFormat="1" ht="13" x14ac:dyDescent="0.25">
      <c r="A18" s="1">
        <v>14</v>
      </c>
      <c r="B18" s="1" t="s">
        <v>52</v>
      </c>
      <c r="C18" s="1" t="s">
        <v>53</v>
      </c>
      <c r="D18" s="1" t="s">
        <v>15</v>
      </c>
      <c r="E18" s="1" t="s">
        <v>54</v>
      </c>
      <c r="F18" s="1" t="s">
        <v>55</v>
      </c>
      <c r="G18" s="1">
        <v>1910301117</v>
      </c>
      <c r="H18" s="1" t="s">
        <v>56</v>
      </c>
      <c r="I18" s="1" t="s">
        <v>57</v>
      </c>
      <c r="K18" s="1">
        <v>1</v>
      </c>
      <c r="L18" s="1">
        <v>1</v>
      </c>
      <c r="M18" s="1">
        <v>1</v>
      </c>
      <c r="O18" s="1">
        <v>1</v>
      </c>
      <c r="P18" s="1">
        <v>1</v>
      </c>
      <c r="T18" s="1">
        <v>1</v>
      </c>
      <c r="U18" s="1">
        <v>1</v>
      </c>
      <c r="V18" s="1">
        <v>1</v>
      </c>
      <c r="W18" s="3" t="s">
        <v>299</v>
      </c>
      <c r="X18" s="1" t="s">
        <v>58</v>
      </c>
    </row>
    <row r="19" spans="1:24" s="1" customFormat="1" ht="13" x14ac:dyDescent="0.25">
      <c r="A19" s="1">
        <v>21</v>
      </c>
      <c r="B19" s="1" t="s">
        <v>59</v>
      </c>
      <c r="C19" s="1" t="s">
        <v>60</v>
      </c>
      <c r="D19" s="1" t="s">
        <v>15</v>
      </c>
      <c r="E19" s="1" t="s">
        <v>61</v>
      </c>
      <c r="F19" s="1" t="s">
        <v>62</v>
      </c>
      <c r="G19" s="1" t="s">
        <v>63</v>
      </c>
      <c r="H19" s="1" t="s">
        <v>64</v>
      </c>
      <c r="I19" s="1" t="s">
        <v>27</v>
      </c>
      <c r="J19" s="1">
        <v>1</v>
      </c>
      <c r="K19" s="1">
        <v>1</v>
      </c>
      <c r="M19" s="1">
        <v>1</v>
      </c>
      <c r="O19" s="1">
        <v>1</v>
      </c>
      <c r="P19" s="1">
        <v>1</v>
      </c>
      <c r="T19" s="1">
        <v>1</v>
      </c>
      <c r="U19" s="1">
        <v>1</v>
      </c>
      <c r="V19" s="1">
        <v>1</v>
      </c>
      <c r="W19" s="3" t="s">
        <v>300</v>
      </c>
      <c r="X19" s="1" t="s">
        <v>65</v>
      </c>
    </row>
    <row r="20" spans="1:24" s="1" customFormat="1" x14ac:dyDescent="0.25">
      <c r="A20" s="1">
        <v>25</v>
      </c>
      <c r="B20" s="1" t="s">
        <v>66</v>
      </c>
      <c r="C20" s="1" t="s">
        <v>67</v>
      </c>
      <c r="D20" s="1" t="s">
        <v>46</v>
      </c>
      <c r="E20" s="1" t="s">
        <v>68</v>
      </c>
      <c r="F20" s="1" t="s">
        <v>69</v>
      </c>
      <c r="G20" s="1" t="s">
        <v>70</v>
      </c>
      <c r="H20" s="1" t="s">
        <v>71</v>
      </c>
      <c r="I20" s="1" t="s">
        <v>35</v>
      </c>
      <c r="J20" s="1">
        <v>1</v>
      </c>
      <c r="M20" s="1">
        <v>1</v>
      </c>
      <c r="O20" s="1">
        <v>1</v>
      </c>
      <c r="P20" s="1">
        <v>1</v>
      </c>
      <c r="T20" s="1">
        <v>1</v>
      </c>
      <c r="U20" s="1">
        <v>1</v>
      </c>
      <c r="V20" s="1">
        <v>1</v>
      </c>
      <c r="X20" s="1" t="s">
        <v>72</v>
      </c>
    </row>
    <row r="21" spans="1:24" s="1" customFormat="1" x14ac:dyDescent="0.25">
      <c r="A21" s="1">
        <v>29</v>
      </c>
      <c r="B21" s="1" t="s">
        <v>81</v>
      </c>
      <c r="C21" s="1" t="s">
        <v>82</v>
      </c>
      <c r="D21" s="1" t="s">
        <v>46</v>
      </c>
      <c r="E21" s="1" t="s">
        <v>83</v>
      </c>
      <c r="F21" s="1" t="s">
        <v>84</v>
      </c>
      <c r="G21" s="1" t="s">
        <v>85</v>
      </c>
      <c r="H21" s="1" t="s">
        <v>86</v>
      </c>
      <c r="I21" s="1" t="s">
        <v>35</v>
      </c>
      <c r="J21" s="1">
        <v>1</v>
      </c>
      <c r="M21" s="1">
        <v>1</v>
      </c>
      <c r="O21" s="1">
        <v>1</v>
      </c>
      <c r="T21" s="1">
        <v>1</v>
      </c>
      <c r="U21" s="1">
        <v>1</v>
      </c>
      <c r="V21" s="1">
        <v>1</v>
      </c>
      <c r="X21" s="1" t="s">
        <v>87</v>
      </c>
    </row>
    <row r="22" spans="1:24" s="1" customFormat="1" x14ac:dyDescent="0.25">
      <c r="A22" s="1">
        <v>31</v>
      </c>
      <c r="B22" s="1" t="s">
        <v>88</v>
      </c>
      <c r="C22" s="1" t="s">
        <v>89</v>
      </c>
      <c r="D22" s="1" t="s">
        <v>15</v>
      </c>
      <c r="E22" s="1" t="s">
        <v>90</v>
      </c>
      <c r="F22" s="1" t="s">
        <v>91</v>
      </c>
      <c r="G22" s="1" t="s">
        <v>92</v>
      </c>
      <c r="H22" s="1" t="s">
        <v>93</v>
      </c>
      <c r="I22" s="1" t="s">
        <v>35</v>
      </c>
      <c r="J22" s="1">
        <v>1</v>
      </c>
      <c r="M22" s="1">
        <v>1</v>
      </c>
      <c r="O22" s="1">
        <v>1</v>
      </c>
      <c r="P22" s="1">
        <v>1</v>
      </c>
      <c r="T22" s="1">
        <v>1</v>
      </c>
      <c r="U22" s="1">
        <v>1</v>
      </c>
      <c r="V22" s="1">
        <v>1</v>
      </c>
      <c r="X22" s="1" t="s">
        <v>94</v>
      </c>
    </row>
    <row r="23" spans="1:24" s="1" customFormat="1" x14ac:dyDescent="0.25">
      <c r="A23" s="1">
        <v>36</v>
      </c>
      <c r="B23" s="1" t="s">
        <v>102</v>
      </c>
      <c r="C23" s="1" t="s">
        <v>103</v>
      </c>
      <c r="D23" s="1" t="s">
        <v>46</v>
      </c>
      <c r="E23" s="1" t="s">
        <v>104</v>
      </c>
      <c r="F23" s="1" t="s">
        <v>105</v>
      </c>
      <c r="G23" s="1">
        <v>2001213231</v>
      </c>
      <c r="H23" s="1" t="s">
        <v>106</v>
      </c>
      <c r="I23" s="1" t="s">
        <v>107</v>
      </c>
      <c r="J23" s="1">
        <v>1</v>
      </c>
      <c r="K23" s="1">
        <v>1</v>
      </c>
      <c r="L23" s="1">
        <v>1</v>
      </c>
      <c r="M23" s="1">
        <v>1</v>
      </c>
      <c r="O23" s="1">
        <v>1</v>
      </c>
      <c r="P23" s="1">
        <v>1</v>
      </c>
      <c r="T23" s="1">
        <v>1</v>
      </c>
      <c r="U23" s="1">
        <v>1</v>
      </c>
      <c r="V23" s="1">
        <v>1</v>
      </c>
      <c r="X23" s="1" t="s">
        <v>108</v>
      </c>
    </row>
    <row r="24" spans="1:24" s="1" customFormat="1" x14ac:dyDescent="0.25">
      <c r="A24" s="1">
        <v>47</v>
      </c>
      <c r="B24" s="1" t="s">
        <v>111</v>
      </c>
      <c r="C24" s="1" t="s">
        <v>112</v>
      </c>
      <c r="D24" s="1" t="s">
        <v>15</v>
      </c>
      <c r="E24" s="1" t="s">
        <v>113</v>
      </c>
      <c r="F24" s="1" t="s">
        <v>114</v>
      </c>
      <c r="G24" s="1" t="s">
        <v>115</v>
      </c>
      <c r="H24" s="1" t="s">
        <v>64</v>
      </c>
      <c r="I24" s="1" t="s">
        <v>35</v>
      </c>
      <c r="J24" s="1">
        <v>1</v>
      </c>
      <c r="M24" s="1">
        <v>1</v>
      </c>
      <c r="R24" s="1">
        <v>1</v>
      </c>
      <c r="V24" s="1">
        <v>1</v>
      </c>
      <c r="X24" s="1" t="s">
        <v>116</v>
      </c>
    </row>
    <row r="25" spans="1:24" s="1" customFormat="1" ht="13" x14ac:dyDescent="0.25">
      <c r="A25" s="1">
        <v>49</v>
      </c>
      <c r="B25" s="1" t="s">
        <v>123</v>
      </c>
      <c r="C25" s="1" t="s">
        <v>124</v>
      </c>
      <c r="D25" s="1" t="s">
        <v>15</v>
      </c>
      <c r="E25" s="1" t="s">
        <v>125</v>
      </c>
      <c r="F25" s="1" t="s">
        <v>126</v>
      </c>
      <c r="G25" s="1" t="s">
        <v>127</v>
      </c>
      <c r="H25" s="1" t="s">
        <v>110</v>
      </c>
      <c r="I25" s="1" t="s">
        <v>27</v>
      </c>
      <c r="J25" s="1">
        <v>1</v>
      </c>
      <c r="M25" s="1">
        <v>1</v>
      </c>
      <c r="P25" s="1">
        <v>1</v>
      </c>
      <c r="T25" s="1">
        <v>1</v>
      </c>
      <c r="U25" s="1">
        <v>1</v>
      </c>
      <c r="V25" s="1">
        <v>1</v>
      </c>
      <c r="W25" s="3" t="s">
        <v>313</v>
      </c>
      <c r="X25" s="1" t="s">
        <v>128</v>
      </c>
    </row>
    <row r="26" spans="1:24" s="1" customFormat="1" x14ac:dyDescent="0.25">
      <c r="A26" s="1">
        <v>50</v>
      </c>
      <c r="B26" s="1" t="s">
        <v>129</v>
      </c>
      <c r="C26" s="1" t="s">
        <v>130</v>
      </c>
      <c r="D26" s="1" t="s">
        <v>15</v>
      </c>
      <c r="E26" s="1" t="s">
        <v>131</v>
      </c>
      <c r="F26" s="1" t="s">
        <v>132</v>
      </c>
      <c r="G26" s="1" t="s">
        <v>133</v>
      </c>
      <c r="H26" s="1" t="s">
        <v>134</v>
      </c>
      <c r="I26" s="1" t="s">
        <v>27</v>
      </c>
      <c r="J26" s="1">
        <v>1</v>
      </c>
      <c r="M26" s="1">
        <v>1</v>
      </c>
      <c r="S26" s="1">
        <v>1</v>
      </c>
      <c r="V26" s="1">
        <v>1</v>
      </c>
      <c r="X26" s="1" t="s">
        <v>87</v>
      </c>
    </row>
    <row r="27" spans="1:24" s="1" customFormat="1" x14ac:dyDescent="0.25">
      <c r="A27" s="1">
        <v>55</v>
      </c>
      <c r="B27" s="1" t="s">
        <v>142</v>
      </c>
      <c r="C27" s="1" t="s">
        <v>143</v>
      </c>
      <c r="D27" s="1" t="s">
        <v>46</v>
      </c>
      <c r="E27" s="1" t="s">
        <v>144</v>
      </c>
      <c r="F27" s="1" t="s">
        <v>145</v>
      </c>
      <c r="G27" s="1">
        <v>1710307205</v>
      </c>
      <c r="H27" s="1" t="s">
        <v>109</v>
      </c>
      <c r="I27" s="1" t="s">
        <v>146</v>
      </c>
      <c r="J27" s="1">
        <v>1</v>
      </c>
      <c r="M27" s="1">
        <v>1</v>
      </c>
      <c r="S27" s="1">
        <v>1</v>
      </c>
      <c r="T27" s="1" t="s">
        <v>140</v>
      </c>
      <c r="U27" s="1" t="s">
        <v>140</v>
      </c>
      <c r="V27" s="1" t="s">
        <v>140</v>
      </c>
      <c r="X27" s="1" t="s">
        <v>87</v>
      </c>
    </row>
    <row r="28" spans="1:24" s="1" customFormat="1" x14ac:dyDescent="0.25">
      <c r="A28" s="1">
        <v>57</v>
      </c>
      <c r="B28" s="1" t="s">
        <v>147</v>
      </c>
      <c r="C28" s="1" t="s">
        <v>148</v>
      </c>
      <c r="D28" s="1" t="s">
        <v>46</v>
      </c>
      <c r="E28" s="1" t="s">
        <v>149</v>
      </c>
      <c r="F28" s="1" t="s">
        <v>150</v>
      </c>
      <c r="G28" s="1">
        <v>1810307117</v>
      </c>
      <c r="H28" s="1" t="s">
        <v>109</v>
      </c>
      <c r="I28" s="1" t="s">
        <v>151</v>
      </c>
      <c r="J28" s="1">
        <v>1</v>
      </c>
      <c r="M28" s="1">
        <v>1</v>
      </c>
      <c r="S28" s="1">
        <v>1</v>
      </c>
      <c r="V28" s="1">
        <v>1</v>
      </c>
      <c r="X28" s="1" t="s">
        <v>152</v>
      </c>
    </row>
    <row r="29" spans="1:24" s="1" customFormat="1" x14ac:dyDescent="0.25">
      <c r="A29" s="1">
        <v>62</v>
      </c>
      <c r="B29" s="1" t="s">
        <v>165</v>
      </c>
      <c r="C29" s="1" t="s">
        <v>166</v>
      </c>
      <c r="D29" s="1" t="s">
        <v>15</v>
      </c>
      <c r="E29" s="1" t="s">
        <v>167</v>
      </c>
      <c r="F29" s="1" t="s">
        <v>167</v>
      </c>
      <c r="G29" s="1">
        <v>2000010624</v>
      </c>
      <c r="H29" s="1" t="s">
        <v>168</v>
      </c>
      <c r="I29" s="1" t="s">
        <v>100</v>
      </c>
      <c r="J29" s="1">
        <v>1</v>
      </c>
      <c r="M29" s="1">
        <v>1</v>
      </c>
      <c r="Q29" s="1">
        <v>1</v>
      </c>
      <c r="R29" s="1">
        <v>1</v>
      </c>
      <c r="T29" s="1">
        <v>1</v>
      </c>
      <c r="U29" s="1">
        <v>1</v>
      </c>
      <c r="V29" s="1">
        <v>1</v>
      </c>
      <c r="X29" s="1" t="s">
        <v>169</v>
      </c>
    </row>
    <row r="30" spans="1:24" s="1" customFormat="1" x14ac:dyDescent="0.25">
      <c r="A30" s="1">
        <v>70</v>
      </c>
      <c r="B30" s="1" t="s">
        <v>181</v>
      </c>
      <c r="C30" s="1" t="s">
        <v>182</v>
      </c>
      <c r="D30" s="1" t="s">
        <v>15</v>
      </c>
      <c r="E30" s="1" t="s">
        <v>183</v>
      </c>
      <c r="F30" s="1" t="s">
        <v>184</v>
      </c>
      <c r="G30" s="1" t="s">
        <v>185</v>
      </c>
      <c r="H30" s="1" t="s">
        <v>110</v>
      </c>
      <c r="I30" s="1" t="s">
        <v>27</v>
      </c>
      <c r="J30" s="1">
        <v>1</v>
      </c>
      <c r="K30" s="1">
        <v>1</v>
      </c>
      <c r="L30" s="1">
        <v>1</v>
      </c>
      <c r="M30" s="1">
        <v>1</v>
      </c>
      <c r="O30" s="1">
        <v>1</v>
      </c>
      <c r="P30" s="1">
        <v>1</v>
      </c>
      <c r="T30" s="1">
        <v>1</v>
      </c>
      <c r="U30" s="1">
        <v>1</v>
      </c>
      <c r="V30" s="1">
        <v>1</v>
      </c>
      <c r="X30" s="1" t="s">
        <v>186</v>
      </c>
    </row>
    <row r="31" spans="1:24" s="1" customFormat="1" x14ac:dyDescent="0.25">
      <c r="A31" s="1">
        <v>79</v>
      </c>
      <c r="B31" s="1" t="s">
        <v>192</v>
      </c>
      <c r="C31" s="1" t="s">
        <v>193</v>
      </c>
      <c r="D31" s="1" t="s">
        <v>15</v>
      </c>
      <c r="E31" s="1" t="s">
        <v>194</v>
      </c>
      <c r="F31" s="1" t="s">
        <v>195</v>
      </c>
      <c r="G31" s="1" t="s">
        <v>196</v>
      </c>
      <c r="H31" s="1" t="s">
        <v>71</v>
      </c>
      <c r="I31" s="1" t="s">
        <v>35</v>
      </c>
      <c r="J31" s="1">
        <v>1</v>
      </c>
      <c r="M31" s="1">
        <v>1</v>
      </c>
      <c r="S31" s="1">
        <v>1</v>
      </c>
      <c r="T31" s="1" t="s">
        <v>140</v>
      </c>
      <c r="U31" s="1" t="s">
        <v>140</v>
      </c>
      <c r="V31" s="1" t="s">
        <v>140</v>
      </c>
      <c r="X31" s="1" t="s">
        <v>197</v>
      </c>
    </row>
    <row r="32" spans="1:24" s="1" customFormat="1" x14ac:dyDescent="0.25">
      <c r="A32" s="1">
        <v>80</v>
      </c>
      <c r="B32" s="1" t="s">
        <v>198</v>
      </c>
      <c r="C32" s="1" t="s">
        <v>199</v>
      </c>
      <c r="D32" s="1" t="s">
        <v>15</v>
      </c>
      <c r="E32" s="1" t="s">
        <v>200</v>
      </c>
      <c r="F32" s="1" t="s">
        <v>200</v>
      </c>
      <c r="G32" s="1" t="s">
        <v>201</v>
      </c>
      <c r="H32" s="1" t="s">
        <v>201</v>
      </c>
      <c r="I32" s="1" t="s">
        <v>201</v>
      </c>
      <c r="J32" s="1">
        <v>1</v>
      </c>
      <c r="M32" s="1">
        <v>1</v>
      </c>
      <c r="S32" s="1">
        <v>1</v>
      </c>
      <c r="T32" s="1">
        <v>1</v>
      </c>
      <c r="U32" s="1">
        <v>1</v>
      </c>
      <c r="V32" s="1">
        <v>1</v>
      </c>
      <c r="X32" s="1" t="s">
        <v>202</v>
      </c>
    </row>
    <row r="33" spans="1:24" s="1" customFormat="1" x14ac:dyDescent="0.25">
      <c r="A33" s="1">
        <v>82</v>
      </c>
      <c r="B33" s="1" t="s">
        <v>203</v>
      </c>
      <c r="C33" s="1" t="s">
        <v>204</v>
      </c>
      <c r="D33" s="1" t="s">
        <v>46</v>
      </c>
      <c r="E33" s="1" t="s">
        <v>205</v>
      </c>
      <c r="F33" s="1" t="s">
        <v>206</v>
      </c>
      <c r="G33" s="1">
        <v>2100018818</v>
      </c>
      <c r="H33" s="1" t="s">
        <v>207</v>
      </c>
      <c r="I33" s="1" t="s">
        <v>208</v>
      </c>
      <c r="J33" s="1">
        <v>1</v>
      </c>
      <c r="K33" s="1">
        <v>1</v>
      </c>
      <c r="L33" s="1">
        <v>1</v>
      </c>
      <c r="M33" s="1">
        <v>1</v>
      </c>
      <c r="O33" s="1">
        <v>1</v>
      </c>
      <c r="P33" s="1">
        <v>1</v>
      </c>
      <c r="T33" s="1">
        <v>1</v>
      </c>
      <c r="U33" s="1">
        <v>1</v>
      </c>
      <c r="V33" s="1">
        <v>1</v>
      </c>
      <c r="X33" s="1" t="s">
        <v>209</v>
      </c>
    </row>
    <row r="34" spans="1:24" s="1" customFormat="1" x14ac:dyDescent="0.25">
      <c r="A34" s="1">
        <v>85</v>
      </c>
      <c r="B34" s="1" t="s">
        <v>210</v>
      </c>
      <c r="C34" s="1" t="s">
        <v>211</v>
      </c>
      <c r="D34" s="1" t="s">
        <v>15</v>
      </c>
      <c r="E34" s="1" t="s">
        <v>212</v>
      </c>
      <c r="F34" s="1" t="s">
        <v>213</v>
      </c>
      <c r="G34" s="1" t="s">
        <v>214</v>
      </c>
      <c r="H34" s="1" t="s">
        <v>168</v>
      </c>
      <c r="I34" s="1" t="s">
        <v>27</v>
      </c>
      <c r="J34" s="1">
        <v>1</v>
      </c>
      <c r="M34" s="1">
        <v>1</v>
      </c>
      <c r="S34" s="1">
        <v>1</v>
      </c>
      <c r="T34" s="1" t="s">
        <v>140</v>
      </c>
      <c r="U34" s="1" t="s">
        <v>140</v>
      </c>
      <c r="V34" s="1" t="s">
        <v>140</v>
      </c>
      <c r="X34" s="1" t="s">
        <v>87</v>
      </c>
    </row>
    <row r="35" spans="1:24" s="1" customFormat="1" ht="13" x14ac:dyDescent="0.25">
      <c r="A35" s="1">
        <v>86</v>
      </c>
      <c r="B35" s="1" t="s">
        <v>215</v>
      </c>
      <c r="C35" s="1" t="s">
        <v>216</v>
      </c>
      <c r="D35" s="1" t="s">
        <v>15</v>
      </c>
      <c r="E35" s="1" t="s">
        <v>217</v>
      </c>
      <c r="F35" s="1" t="s">
        <v>217</v>
      </c>
      <c r="G35" s="1">
        <v>1601111309</v>
      </c>
      <c r="H35" s="1" t="s">
        <v>18</v>
      </c>
      <c r="I35" s="1" t="s">
        <v>218</v>
      </c>
      <c r="J35" s="1">
        <v>1</v>
      </c>
      <c r="M35" s="1">
        <v>1</v>
      </c>
      <c r="O35" s="1">
        <v>1</v>
      </c>
      <c r="T35" s="1">
        <v>1</v>
      </c>
      <c r="U35" s="1">
        <v>1</v>
      </c>
      <c r="V35" s="1">
        <v>1</v>
      </c>
      <c r="W35" s="3" t="s">
        <v>300</v>
      </c>
      <c r="X35" s="1" t="s">
        <v>219</v>
      </c>
    </row>
    <row r="36" spans="1:24" s="1" customFormat="1" x14ac:dyDescent="0.25">
      <c r="A36" s="1">
        <v>89</v>
      </c>
      <c r="B36" s="1" t="s">
        <v>220</v>
      </c>
      <c r="C36" s="1" t="s">
        <v>221</v>
      </c>
      <c r="D36" s="1" t="s">
        <v>15</v>
      </c>
      <c r="E36" s="1" t="s">
        <v>222</v>
      </c>
      <c r="F36" s="1" t="s">
        <v>223</v>
      </c>
      <c r="G36" s="1" t="s">
        <v>224</v>
      </c>
      <c r="H36" s="1" t="s">
        <v>225</v>
      </c>
      <c r="I36" s="1" t="s">
        <v>226</v>
      </c>
      <c r="J36" s="1">
        <v>1</v>
      </c>
      <c r="M36" s="1">
        <v>1</v>
      </c>
      <c r="S36" s="1">
        <v>1</v>
      </c>
      <c r="T36" s="1">
        <v>1</v>
      </c>
      <c r="X36" s="1" t="s">
        <v>87</v>
      </c>
    </row>
    <row r="37" spans="1:24" s="6" customFormat="1" x14ac:dyDescent="0.25">
      <c r="A37" s="6">
        <v>90</v>
      </c>
      <c r="B37" s="6" t="s">
        <v>227</v>
      </c>
      <c r="C37" s="6" t="s">
        <v>228</v>
      </c>
      <c r="D37" s="6" t="s">
        <v>15</v>
      </c>
      <c r="E37" s="6" t="s">
        <v>229</v>
      </c>
      <c r="F37" s="6" t="s">
        <v>229</v>
      </c>
      <c r="G37" s="6" t="s">
        <v>230</v>
      </c>
      <c r="H37" s="6" t="s">
        <v>110</v>
      </c>
      <c r="I37" s="6" t="s">
        <v>35</v>
      </c>
      <c r="J37" s="6">
        <v>1</v>
      </c>
      <c r="M37" s="6">
        <v>1</v>
      </c>
      <c r="R37" s="6">
        <v>1</v>
      </c>
      <c r="U37" s="6">
        <v>1</v>
      </c>
      <c r="V37" s="6">
        <v>1</v>
      </c>
      <c r="X37" s="6" t="s">
        <v>87</v>
      </c>
    </row>
    <row r="38" spans="1:24" s="6" customFormat="1" ht="13" x14ac:dyDescent="0.25">
      <c r="A38" s="6">
        <v>93</v>
      </c>
      <c r="B38" s="6" t="s">
        <v>231</v>
      </c>
      <c r="C38" s="6" t="s">
        <v>232</v>
      </c>
      <c r="D38" s="7" t="s">
        <v>318</v>
      </c>
      <c r="E38" s="6" t="s">
        <v>233</v>
      </c>
      <c r="F38" s="6" t="s">
        <v>234</v>
      </c>
      <c r="G38" s="6" t="s">
        <v>235</v>
      </c>
      <c r="H38" s="6" t="s">
        <v>236</v>
      </c>
      <c r="I38" s="6" t="s">
        <v>35</v>
      </c>
      <c r="J38" s="6">
        <v>1</v>
      </c>
      <c r="M38" s="6">
        <v>1</v>
      </c>
      <c r="O38" s="6">
        <v>1</v>
      </c>
      <c r="V38" s="6">
        <v>1</v>
      </c>
      <c r="X38" s="6" t="s">
        <v>237</v>
      </c>
    </row>
    <row r="39" spans="1:24" s="1" customFormat="1" x14ac:dyDescent="0.25">
      <c r="A39" s="1">
        <v>94</v>
      </c>
      <c r="B39" s="1" t="s">
        <v>238</v>
      </c>
      <c r="C39" s="1" t="s">
        <v>239</v>
      </c>
      <c r="D39" s="1" t="s">
        <v>46</v>
      </c>
      <c r="E39" s="1" t="s">
        <v>240</v>
      </c>
      <c r="F39" s="1" t="s">
        <v>241</v>
      </c>
      <c r="G39" s="1" t="s">
        <v>242</v>
      </c>
      <c r="H39" s="1" t="s">
        <v>243</v>
      </c>
      <c r="I39" s="1" t="s">
        <v>151</v>
      </c>
      <c r="J39" s="1">
        <v>1</v>
      </c>
      <c r="M39" s="1">
        <v>1</v>
      </c>
      <c r="S39" s="1">
        <v>1</v>
      </c>
      <c r="U39" s="1">
        <v>1</v>
      </c>
      <c r="X39" s="1" t="s">
        <v>244</v>
      </c>
    </row>
    <row r="40" spans="1:24" s="1" customFormat="1" x14ac:dyDescent="0.25">
      <c r="A40" s="1">
        <v>95</v>
      </c>
      <c r="B40" s="1" t="s">
        <v>245</v>
      </c>
      <c r="C40" s="1" t="s">
        <v>246</v>
      </c>
      <c r="D40" s="1" t="s">
        <v>15</v>
      </c>
      <c r="E40" s="1" t="s">
        <v>247</v>
      </c>
      <c r="F40" s="1" t="s">
        <v>248</v>
      </c>
      <c r="G40" s="1" t="s">
        <v>249</v>
      </c>
      <c r="H40" s="1" t="s">
        <v>71</v>
      </c>
      <c r="I40" s="1" t="s">
        <v>27</v>
      </c>
      <c r="J40" s="1">
        <v>1</v>
      </c>
      <c r="M40" s="1">
        <v>1</v>
      </c>
      <c r="S40" s="1">
        <v>1</v>
      </c>
      <c r="T40" s="1">
        <v>1</v>
      </c>
      <c r="X40" s="1" t="s">
        <v>87</v>
      </c>
    </row>
    <row r="41" spans="1:24" s="1" customFormat="1" x14ac:dyDescent="0.25">
      <c r="A41" s="1">
        <v>105</v>
      </c>
      <c r="B41" s="1" t="s">
        <v>250</v>
      </c>
      <c r="C41" s="1" t="s">
        <v>251</v>
      </c>
      <c r="D41" s="1" t="s">
        <v>46</v>
      </c>
      <c r="E41" s="1" t="s">
        <v>252</v>
      </c>
      <c r="F41" s="1" t="s">
        <v>253</v>
      </c>
      <c r="G41" s="1" t="s">
        <v>254</v>
      </c>
      <c r="H41" s="1" t="s">
        <v>34</v>
      </c>
      <c r="I41" s="1" t="s">
        <v>35</v>
      </c>
      <c r="J41" s="1">
        <v>1</v>
      </c>
      <c r="M41" s="1">
        <v>1</v>
      </c>
      <c r="P41" s="1">
        <v>1</v>
      </c>
      <c r="T41" s="1">
        <v>1</v>
      </c>
      <c r="U41" s="1">
        <v>1</v>
      </c>
      <c r="V41" s="1">
        <v>1</v>
      </c>
      <c r="X41" s="1" t="s">
        <v>255</v>
      </c>
    </row>
    <row r="42" spans="1:24" s="1" customFormat="1" ht="13" x14ac:dyDescent="0.25">
      <c r="A42" s="1">
        <v>106</v>
      </c>
      <c r="B42" s="1" t="s">
        <v>256</v>
      </c>
      <c r="C42" s="1" t="s">
        <v>257</v>
      </c>
      <c r="D42" s="1" t="s">
        <v>15</v>
      </c>
      <c r="E42" s="1" t="s">
        <v>258</v>
      </c>
      <c r="F42" s="1" t="s">
        <v>258</v>
      </c>
      <c r="G42" s="1">
        <v>1800016235</v>
      </c>
      <c r="H42" s="1" t="s">
        <v>78</v>
      </c>
      <c r="I42" s="1" t="s">
        <v>100</v>
      </c>
      <c r="L42" s="1">
        <v>1</v>
      </c>
      <c r="M42" s="1">
        <v>1</v>
      </c>
      <c r="P42" s="1">
        <v>1</v>
      </c>
      <c r="T42" s="1">
        <v>1</v>
      </c>
      <c r="U42" s="1">
        <v>1</v>
      </c>
      <c r="W42" s="3" t="s">
        <v>299</v>
      </c>
      <c r="X42" s="1" t="s">
        <v>259</v>
      </c>
    </row>
    <row r="43" spans="1:24" s="1" customFormat="1" x14ac:dyDescent="0.25">
      <c r="A43" s="1">
        <v>108</v>
      </c>
      <c r="B43" s="1" t="s">
        <v>260</v>
      </c>
      <c r="C43" s="1" t="s">
        <v>261</v>
      </c>
      <c r="D43" s="1" t="s">
        <v>15</v>
      </c>
      <c r="E43" s="1" t="s">
        <v>262</v>
      </c>
      <c r="F43" s="1" t="s">
        <v>263</v>
      </c>
      <c r="G43" s="1" t="s">
        <v>264</v>
      </c>
      <c r="H43" s="1" t="s">
        <v>265</v>
      </c>
      <c r="I43" s="1" t="s">
        <v>151</v>
      </c>
      <c r="J43" s="1">
        <v>1</v>
      </c>
      <c r="M43" s="1">
        <v>1</v>
      </c>
      <c r="Q43" s="1">
        <v>1</v>
      </c>
      <c r="T43" s="1">
        <v>1</v>
      </c>
      <c r="U43" s="1">
        <v>1</v>
      </c>
      <c r="X43" s="1" t="s">
        <v>87</v>
      </c>
    </row>
    <row r="44" spans="1:24" s="1" customFormat="1" ht="13" x14ac:dyDescent="0.25">
      <c r="A44" s="1">
        <v>114</v>
      </c>
      <c r="B44" s="1" t="s">
        <v>272</v>
      </c>
      <c r="C44" s="1" t="s">
        <v>273</v>
      </c>
      <c r="D44" s="1" t="s">
        <v>15</v>
      </c>
      <c r="E44" s="1" t="s">
        <v>274</v>
      </c>
      <c r="F44" s="1" t="s">
        <v>275</v>
      </c>
      <c r="G44" s="1" t="s">
        <v>276</v>
      </c>
      <c r="H44" s="1" t="s">
        <v>236</v>
      </c>
      <c r="I44" s="1" t="s">
        <v>27</v>
      </c>
      <c r="J44" s="1">
        <v>1</v>
      </c>
      <c r="K44" s="1">
        <v>1</v>
      </c>
      <c r="L44" s="1">
        <v>1</v>
      </c>
      <c r="M44" s="1">
        <v>1</v>
      </c>
      <c r="P44" s="1">
        <v>1</v>
      </c>
      <c r="T44" s="1">
        <v>1</v>
      </c>
      <c r="U44" s="1">
        <v>1</v>
      </c>
      <c r="V44" s="1">
        <v>1</v>
      </c>
      <c r="W44" s="3" t="s">
        <v>314</v>
      </c>
      <c r="X44" s="1" t="s">
        <v>277</v>
      </c>
    </row>
    <row r="45" spans="1:24" s="1" customFormat="1" x14ac:dyDescent="0.25">
      <c r="A45" s="1">
        <v>115</v>
      </c>
      <c r="B45" s="1" t="s">
        <v>278</v>
      </c>
      <c r="C45" s="1" t="s">
        <v>279</v>
      </c>
      <c r="D45" s="1" t="s">
        <v>46</v>
      </c>
      <c r="E45" s="1" t="s">
        <v>280</v>
      </c>
      <c r="F45" s="1" t="s">
        <v>281</v>
      </c>
      <c r="G45" s="1" t="s">
        <v>282</v>
      </c>
      <c r="H45" s="1" t="s">
        <v>109</v>
      </c>
      <c r="I45" s="1" t="s">
        <v>35</v>
      </c>
      <c r="J45" s="1">
        <v>1</v>
      </c>
      <c r="M45" s="1">
        <v>1</v>
      </c>
      <c r="S45" s="1">
        <v>1</v>
      </c>
      <c r="T45" s="1" t="s">
        <v>140</v>
      </c>
      <c r="U45" s="1" t="s">
        <v>140</v>
      </c>
      <c r="V45" s="1" t="s">
        <v>140</v>
      </c>
      <c r="X45" s="1" t="s">
        <v>283</v>
      </c>
    </row>
    <row r="46" spans="1:24" s="1" customFormat="1" x14ac:dyDescent="0.25">
      <c r="A46" s="1">
        <v>122</v>
      </c>
      <c r="B46" s="1" t="s">
        <v>290</v>
      </c>
      <c r="C46" s="1" t="s">
        <v>291</v>
      </c>
      <c r="D46" s="1" t="s">
        <v>46</v>
      </c>
      <c r="E46" s="1" t="s">
        <v>292</v>
      </c>
      <c r="F46" s="1" t="s">
        <v>293</v>
      </c>
      <c r="G46" s="1" t="s">
        <v>294</v>
      </c>
      <c r="H46" s="1" t="s">
        <v>243</v>
      </c>
      <c r="I46" s="1" t="s">
        <v>295</v>
      </c>
      <c r="J46" s="1">
        <v>1</v>
      </c>
      <c r="M46" s="1">
        <v>1</v>
      </c>
      <c r="S46" s="1">
        <v>1</v>
      </c>
      <c r="T46" s="1">
        <v>1</v>
      </c>
      <c r="U46" s="1">
        <v>1</v>
      </c>
      <c r="X46" s="1" t="s">
        <v>87</v>
      </c>
    </row>
    <row r="47" spans="1:24" x14ac:dyDescent="0.25">
      <c r="D47">
        <f>COUNTIF(D2:D46,"男")</f>
        <v>33</v>
      </c>
      <c r="J47">
        <f t="shared" ref="J47:W47" si="0">SUM(J2:J46)</f>
        <v>40</v>
      </c>
      <c r="K47">
        <f t="shared" si="0"/>
        <v>11</v>
      </c>
      <c r="L47">
        <f t="shared" si="0"/>
        <v>9</v>
      </c>
      <c r="M47">
        <f t="shared" si="0"/>
        <v>45</v>
      </c>
      <c r="N47">
        <f t="shared" si="0"/>
        <v>14</v>
      </c>
      <c r="O47">
        <f t="shared" si="0"/>
        <v>15</v>
      </c>
      <c r="P47">
        <f t="shared" si="0"/>
        <v>17</v>
      </c>
      <c r="Q47">
        <f t="shared" si="0"/>
        <v>4</v>
      </c>
      <c r="R47">
        <f t="shared" si="0"/>
        <v>4</v>
      </c>
      <c r="S47">
        <f t="shared" si="0"/>
        <v>17</v>
      </c>
      <c r="T47">
        <f t="shared" si="0"/>
        <v>31</v>
      </c>
      <c r="U47">
        <f t="shared" si="0"/>
        <v>30</v>
      </c>
      <c r="V47">
        <f t="shared" si="0"/>
        <v>28</v>
      </c>
      <c r="W47">
        <f t="shared" si="0"/>
        <v>0</v>
      </c>
    </row>
    <row r="48" spans="1:24" x14ac:dyDescent="0.25">
      <c r="D48">
        <f>COUNTA(D2:D46)</f>
        <v>45</v>
      </c>
    </row>
  </sheetData>
  <autoFilter ref="A1:AC46" xr:uid="{00000000-0001-0000-0000-000000000000}">
    <sortState xmlns:xlrd2="http://schemas.microsoft.com/office/spreadsheetml/2017/richdata2" ref="A2:X46">
      <sortCondition descending="1" ref="N1:N46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健宁 李</cp:lastModifiedBy>
  <dcterms:modified xsi:type="dcterms:W3CDTF">2024-04-11T07:00:34Z</dcterms:modified>
  <cp:category/>
  <cp:contentStatus/>
</cp:coreProperties>
</file>