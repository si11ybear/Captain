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2E196E2-3E08-483A-90DD-FA63F7FFDD4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1" i="2" l="1"/>
  <c r="A71" i="2"/>
  <c r="A16" i="2"/>
  <c r="A52" i="2"/>
  <c r="A36" i="2"/>
  <c r="L91" i="2"/>
  <c r="M91" i="2"/>
  <c r="N91" i="2"/>
  <c r="O91" i="2"/>
  <c r="P91" i="2"/>
  <c r="Q91" i="2"/>
  <c r="R91" i="2"/>
  <c r="S91" i="2"/>
  <c r="T91" i="2"/>
  <c r="U91" i="2"/>
  <c r="V91" i="2"/>
  <c r="W91" i="2"/>
  <c r="K91" i="2"/>
  <c r="D91" i="2"/>
  <c r="L71" i="2"/>
  <c r="M71" i="2"/>
  <c r="N71" i="2"/>
  <c r="O71" i="2"/>
  <c r="P71" i="2"/>
  <c r="Q71" i="2"/>
  <c r="R71" i="2"/>
  <c r="S71" i="2"/>
  <c r="T71" i="2"/>
  <c r="U71" i="2"/>
  <c r="V71" i="2"/>
  <c r="W71" i="2"/>
  <c r="K71" i="2"/>
  <c r="D71" i="2"/>
  <c r="L52" i="2"/>
  <c r="M52" i="2"/>
  <c r="N52" i="2"/>
  <c r="O52" i="2"/>
  <c r="P52" i="2"/>
  <c r="Q52" i="2"/>
  <c r="R52" i="2"/>
  <c r="S52" i="2"/>
  <c r="T52" i="2"/>
  <c r="U52" i="2"/>
  <c r="V52" i="2"/>
  <c r="W52" i="2"/>
  <c r="K52" i="2"/>
  <c r="D52" i="2"/>
  <c r="L36" i="2"/>
  <c r="M36" i="2"/>
  <c r="N36" i="2"/>
  <c r="O36" i="2"/>
  <c r="P36" i="2"/>
  <c r="Q36" i="2"/>
  <c r="R36" i="2"/>
  <c r="S36" i="2"/>
  <c r="T36" i="2"/>
  <c r="U36" i="2"/>
  <c r="V36" i="2"/>
  <c r="W36" i="2"/>
  <c r="K36" i="2"/>
  <c r="D36" i="2"/>
  <c r="L16" i="2"/>
  <c r="M16" i="2"/>
  <c r="N16" i="2"/>
  <c r="O16" i="2"/>
  <c r="P16" i="2"/>
  <c r="Q16" i="2"/>
  <c r="R16" i="2"/>
  <c r="S16" i="2"/>
  <c r="T16" i="2"/>
  <c r="U16" i="2"/>
  <c r="V16" i="2"/>
  <c r="W16" i="2"/>
  <c r="K16" i="2"/>
  <c r="D16" i="2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J70" i="1"/>
  <c r="D70" i="1"/>
  <c r="E70" i="1"/>
  <c r="F70" i="1"/>
  <c r="G70" i="1"/>
  <c r="H70" i="1"/>
  <c r="I70" i="1"/>
  <c r="A70" i="1"/>
</calcChain>
</file>

<file path=xl/sharedStrings.xml><?xml version="1.0" encoding="utf-8"?>
<sst xmlns="http://schemas.openxmlformats.org/spreadsheetml/2006/main" count="1408" uniqueCount="439">
  <si>
    <t>序号</t>
  </si>
  <si>
    <t>1、基本信息：—姓名：</t>
  </si>
  <si>
    <t>1、ID：</t>
  </si>
  <si>
    <t>1、性别</t>
  </si>
  <si>
    <t>1、微信号（以wxid开头的微信号无法添加好友，请更改微信号或使用微信绑定的手机号填写微信号）：</t>
  </si>
  <si>
    <t>1、手机号：</t>
  </si>
  <si>
    <t>1、学号：</t>
  </si>
  <si>
    <t>1、院系（请写全称）：</t>
  </si>
  <si>
    <t>1、年级（如20本/研）：</t>
  </si>
  <si>
    <t>2、报名资格(参加过一次24春训拉练（含前站）（包括蟒山、潭柘寺、黑分解和相应前站）)</t>
  </si>
  <si>
    <t>3、报名的组别（为方便分组，请大家尽可能多选时间）。(A组 4月20日-4月21日)</t>
  </si>
  <si>
    <t>3、(B组 4月28日-4月29日)</t>
  </si>
  <si>
    <t>4、(均无，且无法在任意一组出发前通过考核)</t>
  </si>
  <si>
    <t>6、其他想说的话</t>
  </si>
  <si>
    <t>胡心月</t>
  </si>
  <si>
    <t>月霜</t>
  </si>
  <si>
    <t>女</t>
  </si>
  <si>
    <t>YueShuang_mlaeas</t>
  </si>
  <si>
    <t>15701261335</t>
  </si>
  <si>
    <t>2210301211</t>
  </si>
  <si>
    <t>基础医学院</t>
  </si>
  <si>
    <t>22本</t>
  </si>
  <si>
    <t>去过南石洋
菜，想多练！</t>
  </si>
  <si>
    <t>范心语</t>
  </si>
  <si>
    <t>三里</t>
  </si>
  <si>
    <t>fxy11274</t>
  </si>
  <si>
    <t>17799133161</t>
  </si>
  <si>
    <t>2200015498</t>
  </si>
  <si>
    <t>经济学院</t>
  </si>
  <si>
    <t>(空)</t>
  </si>
  <si>
    <t>男</t>
  </si>
  <si>
    <t>物理学院</t>
  </si>
  <si>
    <t>刘畅</t>
  </si>
  <si>
    <t>六爻</t>
  </si>
  <si>
    <t>LC15352626115</t>
  </si>
  <si>
    <t>15313960115</t>
  </si>
  <si>
    <t>2210301256</t>
  </si>
  <si>
    <t>23本</t>
  </si>
  <si>
    <t>谢美琳</t>
  </si>
  <si>
    <t>奶油小狗</t>
  </si>
  <si>
    <t>15620037064</t>
  </si>
  <si>
    <t>2210307110</t>
  </si>
  <si>
    <t>药学院</t>
  </si>
  <si>
    <t>去年去过了南石洋，今年想换一个地方！</t>
  </si>
  <si>
    <t>中国语言文学系</t>
  </si>
  <si>
    <t>周晋飞</t>
  </si>
  <si>
    <t>立夏</t>
  </si>
  <si>
    <t>zjf050555</t>
  </si>
  <si>
    <t>18810518091</t>
  </si>
  <si>
    <t>21本</t>
  </si>
  <si>
    <t>去过白河和十渡。最想去官厅（非强求）。</t>
  </si>
  <si>
    <t>刘青</t>
  </si>
  <si>
    <t>lqq</t>
  </si>
  <si>
    <t>tripleqingqing</t>
  </si>
  <si>
    <t>19920011623</t>
  </si>
  <si>
    <t>2201110104</t>
  </si>
  <si>
    <t>22博</t>
  </si>
  <si>
    <t>请让我去晚一些时间的双日，心脏能多休息一些时间恢复</t>
  </si>
  <si>
    <t>余博涵</t>
  </si>
  <si>
    <t>华年</t>
  </si>
  <si>
    <t>19971053690</t>
  </si>
  <si>
    <t>信息科学技术学院</t>
  </si>
  <si>
    <t>罗西</t>
  </si>
  <si>
    <t>萝卟头</t>
  </si>
  <si>
    <t>17771440106</t>
  </si>
  <si>
    <t>十渡，南石洋</t>
  </si>
  <si>
    <t>马京岳</t>
  </si>
  <si>
    <t>小绿</t>
  </si>
  <si>
    <t>M18500147036</t>
  </si>
  <si>
    <t>18500147036</t>
  </si>
  <si>
    <t>2300012748</t>
  </si>
  <si>
    <t>期待ing</t>
  </si>
  <si>
    <t>李伊然</t>
  </si>
  <si>
    <t>惊棠</t>
  </si>
  <si>
    <t>18696370423</t>
  </si>
  <si>
    <t>2200014187</t>
  </si>
  <si>
    <t>想去双日！！！</t>
  </si>
  <si>
    <t>法学院</t>
  </si>
  <si>
    <t>23研</t>
  </si>
  <si>
    <t>赵一杰</t>
  </si>
  <si>
    <t>AD钙</t>
  </si>
  <si>
    <t>15332295389</t>
  </si>
  <si>
    <t>去过三日十渡</t>
  </si>
  <si>
    <t>马小林1</t>
  </si>
  <si>
    <t>XL</t>
  </si>
  <si>
    <t>13218038208</t>
  </si>
  <si>
    <t>20研</t>
  </si>
  <si>
    <t>郭慜琦</t>
  </si>
  <si>
    <t>上线</t>
  </si>
  <si>
    <t>yueyue20060404</t>
  </si>
  <si>
    <t>18047020995</t>
  </si>
  <si>
    <t>2300013567</t>
  </si>
  <si>
    <t>环境科学与工程学院</t>
  </si>
  <si>
    <t/>
  </si>
  <si>
    <t>想去双日、想去暑期</t>
  </si>
  <si>
    <t>徐艺溶</t>
  </si>
  <si>
    <t>cc</t>
  </si>
  <si>
    <t>Anastasia_chekhov</t>
  </si>
  <si>
    <t>15009930470</t>
  </si>
  <si>
    <t>2200013732</t>
  </si>
  <si>
    <t>工学院</t>
  </si>
  <si>
    <t>20本</t>
  </si>
  <si>
    <t>关涛</t>
  </si>
  <si>
    <t>飞舟</t>
  </si>
  <si>
    <t>13240142448</t>
  </si>
  <si>
    <t>2200011869</t>
  </si>
  <si>
    <t>化学与分子工程学院</t>
  </si>
  <si>
    <t>去过琉璃庙，不要再去了</t>
  </si>
  <si>
    <t>杨济远</t>
  </si>
  <si>
    <t>长河</t>
  </si>
  <si>
    <t>17591668265</t>
  </si>
  <si>
    <t>2200013437</t>
  </si>
  <si>
    <t>城市与环境学院</t>
  </si>
  <si>
    <t>已去过琉璃庙</t>
  </si>
  <si>
    <t>吴振翔</t>
  </si>
  <si>
    <t>17786229761</t>
  </si>
  <si>
    <t>往年去过十渡</t>
  </si>
  <si>
    <t>赵越超</t>
  </si>
  <si>
    <t>麦当</t>
  </si>
  <si>
    <t>rwcxzr2022</t>
  </si>
  <si>
    <t>17636043285</t>
  </si>
  <si>
    <t>医学人文学院</t>
  </si>
  <si>
    <t>已去过白河和琉璃庙</t>
  </si>
  <si>
    <t>李小彤</t>
  </si>
  <si>
    <t>徐行</t>
  </si>
  <si>
    <t>jilingxiaohou</t>
  </si>
  <si>
    <t>13264442659</t>
  </si>
  <si>
    <t>2310303107</t>
  </si>
  <si>
    <t>口腔医学院</t>
  </si>
  <si>
    <t>张伟男</t>
  </si>
  <si>
    <t>purple rain</t>
  </si>
  <si>
    <t>ppr18813168862</t>
  </si>
  <si>
    <t>18813168862</t>
  </si>
  <si>
    <t>2310307315</t>
  </si>
  <si>
    <t>药学</t>
  </si>
  <si>
    <t>想去摘草莓</t>
  </si>
  <si>
    <t>黄章毅</t>
  </si>
  <si>
    <t>晚风</t>
  </si>
  <si>
    <t>Cx330_EDTA</t>
  </si>
  <si>
    <t>19892224721</t>
  </si>
  <si>
    <t>国家发展研究院</t>
  </si>
  <si>
    <t>去过白河</t>
  </si>
  <si>
    <t>赵泽奇</t>
  </si>
  <si>
    <t>三改火</t>
  </si>
  <si>
    <t>zzq1695789162</t>
  </si>
  <si>
    <t>18034368530</t>
  </si>
  <si>
    <t>2200011011</t>
  </si>
  <si>
    <t>时间AB均可，尽量B组
辛苦啦！</t>
  </si>
  <si>
    <t>杨子衿</t>
  </si>
  <si>
    <t>木今</t>
  </si>
  <si>
    <t>yzj18174571822</t>
  </si>
  <si>
    <t>18774576117</t>
  </si>
  <si>
    <t>2310108326</t>
  </si>
  <si>
    <t>护理学院</t>
  </si>
  <si>
    <t>希望不会有太难爬的坡QAQ</t>
  </si>
  <si>
    <t>赵茜</t>
  </si>
  <si>
    <t>南希</t>
  </si>
  <si>
    <t>NancyZhao829</t>
  </si>
  <si>
    <t>15813338890</t>
  </si>
  <si>
    <t>2302010751</t>
  </si>
  <si>
    <t>光华管理学院</t>
  </si>
  <si>
    <t>本科交换</t>
  </si>
  <si>
    <t>冲双日！</t>
  </si>
  <si>
    <t>彭乙桐</t>
  </si>
  <si>
    <t>fengwu</t>
  </si>
  <si>
    <t>pengyitong123</t>
  </si>
  <si>
    <t>15131829058</t>
  </si>
  <si>
    <t>2300012911</t>
  </si>
  <si>
    <t>冲冲冲！</t>
  </si>
  <si>
    <t>郭盈诺</t>
  </si>
  <si>
    <t>几木</t>
  </si>
  <si>
    <t>ddemma</t>
  </si>
  <si>
    <t>16604157666</t>
  </si>
  <si>
    <t>2310305209</t>
  </si>
  <si>
    <t>如果能是B组就更好啦！（A组的时间不确定能不能完成一些ddl......要是被分配到A组的话其实也没有关系啦)
希望玩得开心！希望能过春训去暑期！</t>
  </si>
  <si>
    <t>王梓桐</t>
  </si>
  <si>
    <t>森云</t>
  </si>
  <si>
    <t>Wangzt_2006</t>
  </si>
  <si>
    <t>13923896174</t>
  </si>
  <si>
    <t>2300010750</t>
  </si>
  <si>
    <t>数学科学学院</t>
  </si>
  <si>
    <t>想去双日！（看看有没有时间当队长试试）（如果还有清创讲座我可以冲一下队医）</t>
  </si>
  <si>
    <t>吴楠</t>
  </si>
  <si>
    <t>尼莫</t>
  </si>
  <si>
    <t>wwcpdm</t>
  </si>
  <si>
    <t>13585545894</t>
  </si>
  <si>
    <t>2201212078</t>
  </si>
  <si>
    <t>外国语学院</t>
  </si>
  <si>
    <t>22硕</t>
  </si>
  <si>
    <t>啊啊啊其实还是新人但是体力尚可很爱骑行，希望可以一起出去玩~</t>
  </si>
  <si>
    <t>古明阳</t>
  </si>
  <si>
    <t>十月</t>
  </si>
  <si>
    <t>lucky403446709</t>
  </si>
  <si>
    <t>新人求带qwq</t>
  </si>
  <si>
    <t>李牧桐</t>
  </si>
  <si>
    <t>Sophia</t>
  </si>
  <si>
    <t>lllllxmn_666</t>
  </si>
  <si>
    <t>18801079560</t>
  </si>
  <si>
    <t>2200015853</t>
  </si>
  <si>
    <t>希望被分配到b组，a组的时间要参加运动会开幕式orz</t>
  </si>
  <si>
    <t>张颢丹</t>
  </si>
  <si>
    <t>好蛋</t>
  </si>
  <si>
    <t>pkuzhd</t>
  </si>
  <si>
    <t>13121759322</t>
  </si>
  <si>
    <t>前沿交叉学科研究院</t>
  </si>
  <si>
    <t>21研</t>
  </si>
  <si>
    <t>李佳宸</t>
  </si>
  <si>
    <t>红蓝</t>
  </si>
  <si>
    <t>LJCFRANXXX0216</t>
  </si>
  <si>
    <t>15080349469</t>
  </si>
  <si>
    <t>2310305234</t>
  </si>
  <si>
    <t>2023本</t>
  </si>
  <si>
    <t>希望能用车轮丈量春光好景和夏日风光~</t>
  </si>
  <si>
    <t>徐艺峰</t>
  </si>
  <si>
    <t>Tom</t>
  </si>
  <si>
    <t>chem_xyf</t>
  </si>
  <si>
    <t>18910021757</t>
  </si>
  <si>
    <t>2300011852</t>
  </si>
  <si>
    <t>双日A组可能报的人比较少（因为是在普通的周末），可以B组多分一些人吗……（我想去B组远大于想去A组qaq）</t>
  </si>
  <si>
    <t>22研</t>
  </si>
  <si>
    <t>曹三省</t>
  </si>
  <si>
    <t>雾路</t>
  </si>
  <si>
    <t>o8s16se34</t>
  </si>
  <si>
    <t>15242201805</t>
  </si>
  <si>
    <t>210302200311051214</t>
  </si>
  <si>
    <t>23双日的时候去过官厅</t>
  </si>
  <si>
    <t>牛致阳</t>
  </si>
  <si>
    <t>ox酱</t>
  </si>
  <si>
    <t>jinliutaidan</t>
  </si>
  <si>
    <t>15290626964</t>
  </si>
  <si>
    <t>2200011810</t>
  </si>
  <si>
    <t>想去双日球球了</t>
  </si>
  <si>
    <t>傅靓</t>
  </si>
  <si>
    <t>小酒</t>
  </si>
  <si>
    <t>fuliang041118</t>
  </si>
  <si>
    <t>18901076981</t>
  </si>
  <si>
    <t>2310108215</t>
  </si>
  <si>
    <t>护理</t>
  </si>
  <si>
    <t>刘祉煦</t>
  </si>
  <si>
    <t>乘一</t>
  </si>
  <si>
    <t>carol230916</t>
  </si>
  <si>
    <t>13100628198</t>
  </si>
  <si>
    <t>2300015502</t>
  </si>
  <si>
    <t>祝好~</t>
  </si>
  <si>
    <t>钱沿</t>
  </si>
  <si>
    <t>浅言</t>
  </si>
  <si>
    <t>13861864001</t>
  </si>
  <si>
    <t>2200012251</t>
  </si>
  <si>
    <t>生命科学学院</t>
  </si>
  <si>
    <t>曹宇曦</t>
  </si>
  <si>
    <t>菊石</t>
  </si>
  <si>
    <t>18811733057</t>
  </si>
  <si>
    <t>2201112166</t>
  </si>
  <si>
    <t>可以的话不想去官厅了</t>
  </si>
  <si>
    <t>赵湘萍</t>
  </si>
  <si>
    <t>橡皮.</t>
  </si>
  <si>
    <t>zxp1919830</t>
  </si>
  <si>
    <t>19160169830</t>
  </si>
  <si>
    <t>大家加油！辛苦啦～</t>
  </si>
  <si>
    <t>刘庆航</t>
  </si>
  <si>
    <t>橘猫</t>
  </si>
  <si>
    <t>Jerry_Liu_Cn</t>
  </si>
  <si>
    <t>18159909817</t>
  </si>
  <si>
    <t>2200011093</t>
  </si>
  <si>
    <t>刘思睿</t>
  </si>
  <si>
    <t>六三</t>
  </si>
  <si>
    <t>lsr20020622</t>
  </si>
  <si>
    <t>18513321877</t>
  </si>
  <si>
    <t>去过南石洋啦，不过不介意再去的。文体部分组辛苦啦！期待双日！！</t>
  </si>
  <si>
    <t>邹慕文</t>
  </si>
  <si>
    <t>大文</t>
  </si>
  <si>
    <t>ZMW18890691985</t>
  </si>
  <si>
    <t>18890691985</t>
  </si>
  <si>
    <t>2200016642</t>
  </si>
  <si>
    <t>信息管理系</t>
  </si>
  <si>
    <t>蔡加琦</t>
  </si>
  <si>
    <t>菜叶子</t>
  </si>
  <si>
    <t>ch040814</t>
  </si>
  <si>
    <t>15010097583</t>
  </si>
  <si>
    <t>2210108311</t>
  </si>
  <si>
    <t>龚嘉敖</t>
  </si>
  <si>
    <t>公交车</t>
  </si>
  <si>
    <t>xwzy66920938</t>
  </si>
  <si>
    <t>18328703755</t>
  </si>
  <si>
    <t>2300010744</t>
  </si>
  <si>
    <t>无</t>
  </si>
  <si>
    <t>刘竞源</t>
  </si>
  <si>
    <t>牛肉汤圆</t>
  </si>
  <si>
    <t>L18983091605</t>
  </si>
  <si>
    <t>17823707378</t>
  </si>
  <si>
    <t>2300017723</t>
  </si>
  <si>
    <t>元培学院</t>
  </si>
  <si>
    <t>去过官厅</t>
  </si>
  <si>
    <t>黄昌健</t>
  </si>
  <si>
    <t>鹤临</t>
  </si>
  <si>
    <t>hcj19896670461</t>
  </si>
  <si>
    <t>19896670461</t>
  </si>
  <si>
    <t>2200015504</t>
  </si>
  <si>
    <t>23年参加过南石洋。
今年不想再去南石洋；因为官厅路线与南石洋相近，因此也不想去官厅。
比较想去琉璃庙或者白河。
如果有新路线，只要不和南石洋、官厅相近，均能接受。
文体部辛苦了！</t>
  </si>
  <si>
    <t>沈婧伊</t>
  </si>
  <si>
    <t>燕麦</t>
  </si>
  <si>
    <t>13913232735</t>
  </si>
  <si>
    <t>2301110765</t>
  </si>
  <si>
    <t>23博</t>
  </si>
  <si>
    <t>长途只骑过环青海湖，第一次报名双日，体力没有特别好，也没有特别差</t>
  </si>
  <si>
    <t>章煜恺</t>
  </si>
  <si>
    <t>章鱼哥</t>
  </si>
  <si>
    <t>Sovohan</t>
  </si>
  <si>
    <t>13505037337</t>
  </si>
  <si>
    <t>2300014509</t>
  </si>
  <si>
    <t>历史学系</t>
  </si>
  <si>
    <t>yeah</t>
  </si>
  <si>
    <t>韩申贤</t>
  </si>
  <si>
    <t>烟火</t>
  </si>
  <si>
    <t>PKU-Sirius</t>
  </si>
  <si>
    <t>18810505911</t>
  </si>
  <si>
    <t>2300011730</t>
  </si>
  <si>
    <t>新人求带</t>
  </si>
  <si>
    <t>任致远</t>
  </si>
  <si>
    <t>支原体</t>
  </si>
  <si>
    <t>18109910721</t>
  </si>
  <si>
    <t>2021本</t>
  </si>
  <si>
    <t>可以随队，但即使不随也希望能知道要去哪个队长带的队x</t>
  </si>
  <si>
    <t>毛开源</t>
  </si>
  <si>
    <t>毛球</t>
  </si>
  <si>
    <t>15208359077</t>
  </si>
  <si>
    <t>北京大学人民医院</t>
  </si>
  <si>
    <t>孙绍翔</t>
  </si>
  <si>
    <t>sunshaoxiang123</t>
  </si>
  <si>
    <t>13333460105</t>
  </si>
  <si>
    <t>2300011851</t>
  </si>
  <si>
    <t>龙泉霖</t>
  </si>
  <si>
    <t>水龙</t>
  </si>
  <si>
    <t>loongwish2023</t>
  </si>
  <si>
    <t>18212612048</t>
  </si>
  <si>
    <t>2310305224</t>
  </si>
  <si>
    <t>去吧</t>
  </si>
  <si>
    <t>李嘉伟</t>
  </si>
  <si>
    <t>司亮</t>
  </si>
  <si>
    <t>Li19825775985</t>
  </si>
  <si>
    <t>19825775985</t>
  </si>
  <si>
    <t>2300013709</t>
  </si>
  <si>
    <t>心理与认知科学学院</t>
  </si>
  <si>
    <t>求大佬带带</t>
  </si>
  <si>
    <t>马心睿</t>
  </si>
  <si>
    <t>吉姆</t>
  </si>
  <si>
    <t>flametwelve</t>
  </si>
  <si>
    <t>15600151866</t>
  </si>
  <si>
    <t>软件与微电子学院</t>
  </si>
  <si>
    <t>23春去过南石洋</t>
  </si>
  <si>
    <t>李傲挺</t>
  </si>
  <si>
    <t>辣条</t>
  </si>
  <si>
    <t>18307115280</t>
  </si>
  <si>
    <t>2200011330</t>
  </si>
  <si>
    <t>黑分解中注册的名字是monkey（手动狗头）</t>
  </si>
  <si>
    <t>陶凝骁</t>
  </si>
  <si>
    <t>黄桃</t>
  </si>
  <si>
    <t>tnx_13757233854</t>
  </si>
  <si>
    <t>13757233854</t>
  </si>
  <si>
    <t>不去十渡就好嘿嘿</t>
  </si>
  <si>
    <t>鞠睿杰</t>
  </si>
  <si>
    <t>蜻蜓点水</t>
  </si>
  <si>
    <t>JerryBell339</t>
  </si>
  <si>
    <t>15223179446</t>
  </si>
  <si>
    <t>2200011782</t>
  </si>
  <si>
    <t>萌新成长期，求大佬多带~</t>
  </si>
  <si>
    <t>王易会</t>
  </si>
  <si>
    <t>石市黄三</t>
  </si>
  <si>
    <t>wyh_ccme</t>
  </si>
  <si>
    <t>13832391475</t>
  </si>
  <si>
    <t>2200011708</t>
  </si>
  <si>
    <t>去过23 B4南石洋，这次想体验点不一样的喵
\双日/\双日/</t>
  </si>
  <si>
    <t>彭博</t>
  </si>
  <si>
    <t>铅</t>
  </si>
  <si>
    <t>18002224901</t>
  </si>
  <si>
    <t>2200013051</t>
  </si>
  <si>
    <t>刘丽莎</t>
  </si>
  <si>
    <t>沙砾</t>
  </si>
  <si>
    <t>lisichka_</t>
  </si>
  <si>
    <t>13718778610</t>
  </si>
  <si>
    <t>菅博皓</t>
  </si>
  <si>
    <t>白华</t>
  </si>
  <si>
    <t>j2514874783</t>
  </si>
  <si>
    <t>18772971217</t>
  </si>
  <si>
    <t>2200011317</t>
  </si>
  <si>
    <t>莫云鹤</t>
  </si>
  <si>
    <t>蓝毛仔</t>
  </si>
  <si>
    <t>去过南石洋</t>
  </si>
  <si>
    <t>陈东昊2</t>
  </si>
  <si>
    <t>蓝</t>
  </si>
  <si>
    <t>lanthanide12138</t>
  </si>
  <si>
    <t>18049514950</t>
  </si>
  <si>
    <t>2300011713</t>
  </si>
  <si>
    <t>23本科</t>
  </si>
  <si>
    <t>双日！</t>
  </si>
  <si>
    <t>仇傲</t>
  </si>
  <si>
    <t>Ao</t>
  </si>
  <si>
    <t>Ao_0502</t>
  </si>
  <si>
    <t>15011089083</t>
  </si>
  <si>
    <t>2301210850</t>
  </si>
  <si>
    <t>dbq我是弱智</t>
  </si>
  <si>
    <t>队医</t>
    <phoneticPr fontId="2" type="noConversion"/>
  </si>
  <si>
    <t>押后</t>
    <phoneticPr fontId="2" type="noConversion"/>
  </si>
  <si>
    <t>预计押后</t>
    <phoneticPr fontId="2" type="noConversion"/>
  </si>
  <si>
    <t>预计队医</t>
    <phoneticPr fontId="2" type="noConversion"/>
  </si>
  <si>
    <t>长途</t>
    <phoneticPr fontId="2" type="noConversion"/>
  </si>
  <si>
    <t>拉练多</t>
    <phoneticPr fontId="2" type="noConversion"/>
  </si>
  <si>
    <t>前站</t>
    <phoneticPr fontId="2" type="noConversion"/>
  </si>
  <si>
    <t>南石洋</t>
    <phoneticPr fontId="2" type="noConversion"/>
  </si>
  <si>
    <t>琉璃庙</t>
    <phoneticPr fontId="2" type="noConversion"/>
  </si>
  <si>
    <r>
      <rPr>
        <sz val="10"/>
        <rFont val="宋体"/>
        <family val="2"/>
        <charset val="134"/>
      </rPr>
      <t>白河</t>
    </r>
    <r>
      <rPr>
        <sz val="10"/>
        <rFont val="Arial"/>
        <family val="2"/>
      </rPr>
      <t xml:space="preserve"> </t>
    </r>
    <r>
      <rPr>
        <sz val="10"/>
        <rFont val="宋体"/>
        <family val="2"/>
        <charset val="134"/>
      </rPr>
      <t>琉璃庙</t>
    </r>
    <phoneticPr fontId="2" type="noConversion"/>
  </si>
  <si>
    <t>白河</t>
    <phoneticPr fontId="2" type="noConversion"/>
  </si>
  <si>
    <t>官厅</t>
    <phoneticPr fontId="2" type="noConversion"/>
  </si>
  <si>
    <t>南石洋 官厅</t>
    <phoneticPr fontId="2" type="noConversion"/>
  </si>
  <si>
    <r>
      <rPr>
        <sz val="10"/>
        <rFont val="MS Gothic"/>
        <family val="3"/>
        <charset val="128"/>
      </rPr>
      <t>希望能去白河，白河</t>
    </r>
    <r>
      <rPr>
        <sz val="10"/>
        <rFont val="Arial"/>
        <family val="2"/>
      </rPr>
      <t>&gt;</t>
    </r>
    <r>
      <rPr>
        <sz val="10"/>
        <rFont val="MS Gothic"/>
        <family val="3"/>
        <charset val="128"/>
      </rPr>
      <t>官</t>
    </r>
    <r>
      <rPr>
        <sz val="10"/>
        <rFont val="Microsoft JhengHei"/>
        <family val="2"/>
        <charset val="136"/>
      </rPr>
      <t>厅</t>
    </r>
    <r>
      <rPr>
        <sz val="10"/>
        <rFont val="Arial"/>
        <family val="2"/>
      </rPr>
      <t>&gt;</t>
    </r>
    <r>
      <rPr>
        <sz val="10"/>
        <rFont val="MS Gothic"/>
        <family val="3"/>
        <charset val="128"/>
      </rPr>
      <t>南石洋</t>
    </r>
    <r>
      <rPr>
        <sz val="10"/>
        <rFont val="Arial"/>
        <family val="2"/>
      </rPr>
      <t>&gt;</t>
    </r>
    <r>
      <rPr>
        <sz val="10"/>
        <rFont val="MS Gothic"/>
        <family val="3"/>
        <charset val="128"/>
      </rPr>
      <t>琉璃</t>
    </r>
    <r>
      <rPr>
        <sz val="10"/>
        <rFont val="Microsoft JhengHei"/>
        <family val="2"/>
        <charset val="136"/>
      </rPr>
      <t>庙</t>
    </r>
    <phoneticPr fontId="2" type="noConversion"/>
  </si>
  <si>
    <r>
      <t>白河</t>
    </r>
    <r>
      <rPr>
        <sz val="10"/>
        <rFont val="Arial"/>
        <family val="2"/>
      </rPr>
      <t>&gt;</t>
    </r>
    <r>
      <rPr>
        <sz val="10"/>
        <rFont val="宋体"/>
        <family val="3"/>
        <charset val="134"/>
      </rPr>
      <t>官厅</t>
    </r>
    <r>
      <rPr>
        <sz val="10"/>
        <rFont val="Arial"/>
        <family val="2"/>
      </rPr>
      <t>&gt;</t>
    </r>
    <r>
      <rPr>
        <sz val="10"/>
        <rFont val="宋体"/>
        <family val="3"/>
        <charset val="134"/>
      </rPr>
      <t>南石洋</t>
    </r>
    <r>
      <rPr>
        <sz val="10"/>
        <rFont val="Arial"/>
        <family val="2"/>
      </rPr>
      <t>&gt;</t>
    </r>
    <r>
      <rPr>
        <sz val="10"/>
        <rFont val="宋体"/>
        <family val="3"/>
        <charset val="134"/>
      </rPr>
      <t>琉璃庙</t>
    </r>
  </si>
  <si>
    <t>暑期</t>
    <phoneticPr fontId="2" type="noConversion"/>
  </si>
  <si>
    <t>春训</t>
    <phoneticPr fontId="2" type="noConversion"/>
  </si>
  <si>
    <t>春季会员</t>
    <phoneticPr fontId="2" type="noConversion"/>
  </si>
  <si>
    <t>白河 想去官厅</t>
    <phoneticPr fontId="2" type="noConversion"/>
  </si>
  <si>
    <t>monkey</t>
    <phoneticPr fontId="2" type="noConversion"/>
  </si>
  <si>
    <t>张文昊</t>
  </si>
  <si>
    <t>玛卡巴卡233</t>
  </si>
  <si>
    <t>15230323370</t>
  </si>
  <si>
    <t>2310306240</t>
  </si>
  <si>
    <t>公共卫生学院</t>
  </si>
  <si>
    <t>感谢各位</t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</si>
  <si>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</si>
  <si>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</si>
  <si>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</si>
  <si>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</si>
  <si>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</si>
  <si>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松山</t>
    <phoneticPr fontId="2" type="noConversion"/>
  </si>
  <si>
    <r>
      <t>3</t>
    </r>
    <r>
      <rPr>
        <sz val="10"/>
        <rFont val="MS Gothic"/>
        <family val="3"/>
        <charset val="128"/>
      </rPr>
      <t>、</t>
    </r>
    <r>
      <rPr>
        <sz val="10"/>
        <rFont val="Arial"/>
        <family val="2"/>
      </rPr>
      <t>(B</t>
    </r>
    <r>
      <rPr>
        <sz val="10"/>
        <rFont val="Microsoft JhengHei"/>
        <family val="2"/>
        <charset val="136"/>
      </rPr>
      <t>组</t>
    </r>
    <r>
      <rPr>
        <sz val="10"/>
        <rFont val="Arial"/>
        <family val="2"/>
      </rPr>
      <t xml:space="preserve"> 4</t>
    </r>
    <r>
      <rPr>
        <sz val="10"/>
        <rFont val="MS Gothic"/>
        <family val="3"/>
        <charset val="128"/>
      </rPr>
      <t>月</t>
    </r>
    <r>
      <rPr>
        <sz val="10"/>
        <rFont val="Arial"/>
        <family val="2"/>
      </rPr>
      <t>28</t>
    </r>
    <r>
      <rPr>
        <sz val="10"/>
        <rFont val="MS Gothic"/>
        <family val="3"/>
        <charset val="128"/>
      </rPr>
      <t>日</t>
    </r>
    <r>
      <rPr>
        <sz val="10"/>
        <rFont val="Arial"/>
        <family val="2"/>
      </rPr>
      <t>-4</t>
    </r>
    <r>
      <rPr>
        <sz val="10"/>
        <rFont val="MS Gothic"/>
        <family val="3"/>
        <charset val="128"/>
      </rPr>
      <t>月</t>
    </r>
    <r>
      <rPr>
        <sz val="10"/>
        <rFont val="Arial"/>
        <family val="2"/>
      </rPr>
      <t>29</t>
    </r>
    <r>
      <rPr>
        <sz val="10"/>
        <rFont val="MS Gothic"/>
        <family val="3"/>
        <charset val="128"/>
      </rPr>
      <t>日</t>
    </r>
    <r>
      <rPr>
        <sz val="10"/>
        <rFont val="Arial"/>
        <family val="2"/>
      </rPr>
      <t>)</t>
    </r>
    <phoneticPr fontId="2" type="noConversion"/>
  </si>
  <si>
    <t>辰羽</t>
    <phoneticPr fontId="2" type="noConversion"/>
  </si>
  <si>
    <t>陈卓</t>
  </si>
  <si>
    <t>table</t>
  </si>
  <si>
    <t>18518981798</t>
  </si>
  <si>
    <t>2300011354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</si>
</sst>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1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S Gothic"/>
      <family val="3"/>
      <charset val="128"/>
    </font>
    <font>
      <sz val="10"/>
      <name val="Microsoft JhengHei"/>
      <family val="2"/>
      <charset val="136"/>
    </font>
    <font>
      <sz val="10"/>
      <name val="宋体"/>
      <family val="3"/>
      <charset val="134"/>
    </font>
    <font>
      <sz val="10"/>
      <name val="宋体"/>
      <family val="2"/>
      <charset val="134"/>
    </font>
    <font>
      <sz val="10"/>
      <name val="Arial"/>
      <family val="2"/>
      <charset val="134"/>
    </font>
    <font>
      <sz val="10"/>
      <name val="Arial"/>
      <family val="3"/>
      <charset val="128"/>
    </font>
    <font>
      <sz val="10"/>
      <color rgb="FF000000"/>
      <name val="Arial"/>
      <family val="2"/>
    </font>
    <font>
      <sz val="10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2" borderId="0" xfId="0" applyFill="1"/>
    <xf numFmtId="0" fontId="3" fillId="0" borderId="0" xfId="0" applyFont="1"/>
    <xf numFmtId="0" fontId="6" fillId="2" borderId="0" xfId="0" applyFont="1" applyFill="1"/>
    <xf numFmtId="0" fontId="3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"/>
  <sheetViews>
    <sheetView zoomScaleNormal="100" workbookViewId="0">
      <selection activeCell="U26" sqref="U26"/>
    </sheetView>
  </sheetViews>
  <sheetFormatPr defaultColWidth="9.1796875" defaultRowHeight="12.5" x14ac:dyDescent="0.25"/>
  <cols>
    <col min="1" max="1" width="4.1796875" customWidth="1"/>
    <col min="2" max="2" width="17" hidden="1" customWidth="1"/>
    <col min="3" max="3" width="9.81640625" customWidth="1"/>
    <col min="4" max="4" width="6.54296875" customWidth="1"/>
    <col min="5" max="5" width="67.453125" hidden="1" customWidth="1"/>
    <col min="6" max="6" width="12.1796875" hidden="1" customWidth="1"/>
    <col min="7" max="7" width="19.1796875" hidden="1" customWidth="1"/>
    <col min="8" max="8" width="16.54296875" hidden="1" customWidth="1"/>
    <col min="9" max="9" width="17.81640625" hidden="1" customWidth="1"/>
    <col min="10" max="11" width="8.1796875" customWidth="1"/>
    <col min="12" max="12" width="5" customWidth="1"/>
    <col min="13" max="13" width="4.81640625" customWidth="1"/>
    <col min="14" max="14" width="54.81640625" hidden="1" customWidth="1"/>
    <col min="15" max="15" width="20.453125" hidden="1" customWidth="1"/>
    <col min="16" max="17" width="6.1796875" customWidth="1"/>
    <col min="18" max="18" width="4.90625" customWidth="1"/>
    <col min="19" max="19" width="6.1796875" customWidth="1"/>
    <col min="20" max="20" width="30.54296875" hidden="1" customWidth="1"/>
    <col min="21" max="21" width="5.6328125" customWidth="1"/>
    <col min="22" max="22" width="6.453125" customWidth="1"/>
    <col min="23" max="24" width="6" customWidth="1"/>
    <col min="25" max="25" width="129" customWidth="1"/>
  </cols>
  <sheetData>
    <row r="1" spans="1:25" ht="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418</v>
      </c>
      <c r="L1" s="1" t="s">
        <v>416</v>
      </c>
      <c r="M1" s="1" t="s">
        <v>417</v>
      </c>
      <c r="N1" t="s">
        <v>10</v>
      </c>
      <c r="O1" t="s">
        <v>11</v>
      </c>
      <c r="P1" s="1" t="s">
        <v>401</v>
      </c>
      <c r="Q1" s="1" t="s">
        <v>402</v>
      </c>
      <c r="R1" s="1" t="s">
        <v>403</v>
      </c>
      <c r="S1" s="1" t="s">
        <v>404</v>
      </c>
      <c r="T1" t="s">
        <v>12</v>
      </c>
      <c r="U1" s="1" t="s">
        <v>405</v>
      </c>
      <c r="V1" s="1" t="s">
        <v>406</v>
      </c>
      <c r="W1" s="1" t="s">
        <v>407</v>
      </c>
      <c r="X1" s="1"/>
      <c r="Y1" t="s">
        <v>13</v>
      </c>
    </row>
    <row r="2" spans="1:25" s="9" customFormat="1" x14ac:dyDescent="0.25">
      <c r="A2" s="9">
        <v>48</v>
      </c>
      <c r="B2" s="9" t="s">
        <v>142</v>
      </c>
      <c r="C2" s="9" t="s">
        <v>143</v>
      </c>
      <c r="D2" s="9" t="s">
        <v>30</v>
      </c>
      <c r="E2" s="9" t="s">
        <v>144</v>
      </c>
      <c r="F2" s="9" t="s">
        <v>145</v>
      </c>
      <c r="G2" s="9" t="s">
        <v>146</v>
      </c>
      <c r="H2" s="9" t="s">
        <v>100</v>
      </c>
      <c r="I2" s="9" t="s">
        <v>21</v>
      </c>
      <c r="J2" s="9">
        <v>1</v>
      </c>
      <c r="N2" s="9">
        <v>1</v>
      </c>
      <c r="O2" s="9">
        <v>1</v>
      </c>
      <c r="R2" s="9">
        <v>1</v>
      </c>
      <c r="U2" s="9">
        <v>1</v>
      </c>
      <c r="V2" s="9">
        <v>1</v>
      </c>
      <c r="W2" s="9">
        <v>1</v>
      </c>
      <c r="Y2" s="9" t="s">
        <v>147</v>
      </c>
    </row>
    <row r="3" spans="1:25" s="9" customFormat="1" x14ac:dyDescent="0.25">
      <c r="A3" s="9">
        <v>54</v>
      </c>
      <c r="B3" s="9" t="s">
        <v>169</v>
      </c>
      <c r="C3" s="9" t="s">
        <v>170</v>
      </c>
      <c r="D3" s="9" t="s">
        <v>16</v>
      </c>
      <c r="E3" s="9" t="s">
        <v>171</v>
      </c>
      <c r="F3" s="9" t="s">
        <v>172</v>
      </c>
      <c r="G3" s="9" t="s">
        <v>173</v>
      </c>
      <c r="H3" s="9" t="s">
        <v>20</v>
      </c>
      <c r="I3" s="9" t="s">
        <v>37</v>
      </c>
      <c r="J3" s="9">
        <v>1</v>
      </c>
      <c r="K3" s="9">
        <v>1</v>
      </c>
      <c r="N3" s="9">
        <v>1</v>
      </c>
      <c r="O3" s="9">
        <v>1</v>
      </c>
      <c r="T3" s="9">
        <v>1</v>
      </c>
      <c r="U3" s="9" t="s">
        <v>93</v>
      </c>
      <c r="V3" s="9" t="s">
        <v>93</v>
      </c>
      <c r="W3" s="9" t="s">
        <v>93</v>
      </c>
      <c r="Y3" s="9" t="s">
        <v>174</v>
      </c>
    </row>
    <row r="4" spans="1:25" s="9" customFormat="1" x14ac:dyDescent="0.25">
      <c r="A4" s="9">
        <v>67</v>
      </c>
      <c r="B4" s="9" t="s">
        <v>213</v>
      </c>
      <c r="C4" s="9" t="s">
        <v>214</v>
      </c>
      <c r="D4" s="9" t="s">
        <v>30</v>
      </c>
      <c r="E4" s="9" t="s">
        <v>215</v>
      </c>
      <c r="F4" s="9" t="s">
        <v>216</v>
      </c>
      <c r="G4" s="9" t="s">
        <v>217</v>
      </c>
      <c r="H4" s="9" t="s">
        <v>106</v>
      </c>
      <c r="I4" s="9" t="s">
        <v>37</v>
      </c>
      <c r="J4" s="9">
        <v>1</v>
      </c>
      <c r="K4" s="9">
        <v>1</v>
      </c>
      <c r="N4" s="9">
        <v>1</v>
      </c>
      <c r="O4" s="9">
        <v>1</v>
      </c>
      <c r="P4" s="9">
        <v>1</v>
      </c>
      <c r="S4" s="9">
        <v>1</v>
      </c>
      <c r="U4" s="9" t="s">
        <v>93</v>
      </c>
      <c r="V4" s="9" t="s">
        <v>93</v>
      </c>
      <c r="W4" s="9" t="s">
        <v>93</v>
      </c>
      <c r="Y4" s="9" t="s">
        <v>218</v>
      </c>
    </row>
    <row r="5" spans="1:25" s="9" customFormat="1" x14ac:dyDescent="0.25">
      <c r="A5" s="9">
        <v>78</v>
      </c>
      <c r="B5" s="9" t="s">
        <v>259</v>
      </c>
      <c r="C5" s="9" t="s">
        <v>260</v>
      </c>
      <c r="D5" s="9" t="s">
        <v>30</v>
      </c>
      <c r="E5" s="9" t="s">
        <v>261</v>
      </c>
      <c r="F5" s="9" t="s">
        <v>262</v>
      </c>
      <c r="G5" s="9" t="s">
        <v>263</v>
      </c>
      <c r="H5" s="9" t="s">
        <v>100</v>
      </c>
      <c r="I5" s="9" t="s">
        <v>21</v>
      </c>
      <c r="L5" s="9">
        <v>1</v>
      </c>
      <c r="N5" s="9">
        <v>1</v>
      </c>
      <c r="O5" s="9">
        <v>1</v>
      </c>
      <c r="P5" s="9">
        <v>1</v>
      </c>
      <c r="Q5" s="9">
        <v>1</v>
      </c>
      <c r="U5" s="9">
        <v>1</v>
      </c>
      <c r="V5" s="9">
        <v>1</v>
      </c>
      <c r="Y5" s="9" t="s">
        <v>29</v>
      </c>
    </row>
    <row r="6" spans="1:25" s="9" customFormat="1" x14ac:dyDescent="0.25">
      <c r="A6" s="9">
        <v>123</v>
      </c>
      <c r="B6" s="9" t="s">
        <v>395</v>
      </c>
      <c r="C6" s="9" t="s">
        <v>396</v>
      </c>
      <c r="D6" s="9" t="s">
        <v>30</v>
      </c>
      <c r="E6" s="9" t="s">
        <v>397</v>
      </c>
      <c r="F6" s="9" t="s">
        <v>398</v>
      </c>
      <c r="G6" s="9" t="s">
        <v>399</v>
      </c>
      <c r="H6" s="9" t="s">
        <v>44</v>
      </c>
      <c r="I6" s="9" t="s">
        <v>78</v>
      </c>
      <c r="J6" s="9">
        <v>1</v>
      </c>
      <c r="N6" s="9">
        <v>1</v>
      </c>
      <c r="O6" s="9">
        <v>1</v>
      </c>
      <c r="P6" s="9">
        <v>1</v>
      </c>
      <c r="Q6" s="9">
        <v>1</v>
      </c>
      <c r="U6" s="9">
        <v>1</v>
      </c>
      <c r="V6" s="9">
        <v>1</v>
      </c>
      <c r="W6" s="9">
        <v>1</v>
      </c>
      <c r="Y6" s="9" t="s">
        <v>400</v>
      </c>
    </row>
    <row r="7" spans="1:25" s="9" customFormat="1" ht="13" x14ac:dyDescent="0.25">
      <c r="A7" s="9">
        <v>5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>
        <v>1</v>
      </c>
      <c r="L7" s="9">
        <v>1</v>
      </c>
      <c r="M7" s="9">
        <v>1</v>
      </c>
      <c r="O7" s="9">
        <v>1</v>
      </c>
      <c r="P7" s="9">
        <v>1</v>
      </c>
      <c r="Q7" s="9">
        <v>1</v>
      </c>
      <c r="U7" s="9">
        <v>1</v>
      </c>
      <c r="V7" s="9">
        <v>1</v>
      </c>
      <c r="W7" s="9">
        <v>1</v>
      </c>
      <c r="X7" s="11" t="s">
        <v>408</v>
      </c>
      <c r="Y7" s="9" t="s">
        <v>22</v>
      </c>
    </row>
    <row r="8" spans="1:25" s="9" customFormat="1" x14ac:dyDescent="0.25">
      <c r="A8" s="9">
        <v>7</v>
      </c>
      <c r="B8" s="9" t="s">
        <v>23</v>
      </c>
      <c r="C8" s="9" t="s">
        <v>24</v>
      </c>
      <c r="D8" s="9" t="s">
        <v>16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21</v>
      </c>
      <c r="J8" s="9">
        <v>1</v>
      </c>
      <c r="O8" s="9">
        <v>1</v>
      </c>
      <c r="P8" s="9">
        <v>1</v>
      </c>
      <c r="Q8" s="9">
        <v>1</v>
      </c>
      <c r="U8" s="9">
        <v>1</v>
      </c>
      <c r="V8" s="9">
        <v>1</v>
      </c>
      <c r="W8" s="9">
        <v>1</v>
      </c>
      <c r="Y8" s="9" t="s">
        <v>29</v>
      </c>
    </row>
    <row r="9" spans="1:25" s="9" customFormat="1" x14ac:dyDescent="0.25">
      <c r="A9" s="9">
        <v>9</v>
      </c>
      <c r="B9" s="9" t="s">
        <v>32</v>
      </c>
      <c r="C9" s="9" t="s">
        <v>33</v>
      </c>
      <c r="D9" s="9" t="s">
        <v>16</v>
      </c>
      <c r="E9" s="9" t="s">
        <v>34</v>
      </c>
      <c r="F9" s="9" t="s">
        <v>35</v>
      </c>
      <c r="G9" s="9" t="s">
        <v>36</v>
      </c>
      <c r="H9" s="9" t="s">
        <v>20</v>
      </c>
      <c r="I9" s="9" t="s">
        <v>21</v>
      </c>
      <c r="J9" s="9">
        <v>1</v>
      </c>
      <c r="L9" s="9">
        <v>1</v>
      </c>
      <c r="M9" s="9">
        <v>1</v>
      </c>
      <c r="O9" s="9">
        <v>1</v>
      </c>
      <c r="P9" s="9">
        <v>1</v>
      </c>
      <c r="Q9" s="9">
        <v>1</v>
      </c>
      <c r="U9" s="9">
        <v>1</v>
      </c>
      <c r="V9" s="9">
        <v>1</v>
      </c>
      <c r="W9" s="9">
        <v>1</v>
      </c>
      <c r="Y9" s="9" t="s">
        <v>29</v>
      </c>
    </row>
    <row r="10" spans="1:25" s="9" customFormat="1" ht="13" x14ac:dyDescent="0.25">
      <c r="A10" s="9">
        <v>12</v>
      </c>
      <c r="B10" s="9" t="s">
        <v>38</v>
      </c>
      <c r="C10" s="9" t="s">
        <v>39</v>
      </c>
      <c r="D10" s="9" t="s">
        <v>16</v>
      </c>
      <c r="E10" s="9" t="s">
        <v>40</v>
      </c>
      <c r="F10" s="9" t="s">
        <v>40</v>
      </c>
      <c r="G10" s="9" t="s">
        <v>41</v>
      </c>
      <c r="H10" s="9" t="s">
        <v>42</v>
      </c>
      <c r="I10" s="9" t="s">
        <v>21</v>
      </c>
      <c r="J10" s="9">
        <v>1</v>
      </c>
      <c r="L10" s="9">
        <v>1</v>
      </c>
      <c r="M10" s="9">
        <v>1</v>
      </c>
      <c r="O10" s="9">
        <v>1</v>
      </c>
      <c r="P10" s="9">
        <v>1</v>
      </c>
      <c r="Q10" s="9">
        <v>1</v>
      </c>
      <c r="U10" s="9">
        <v>1</v>
      </c>
      <c r="V10" s="9">
        <v>1</v>
      </c>
      <c r="W10" s="9">
        <v>1</v>
      </c>
      <c r="X10" s="11" t="s">
        <v>408</v>
      </c>
      <c r="Y10" s="9" t="s">
        <v>43</v>
      </c>
    </row>
    <row r="11" spans="1:25" s="9" customFormat="1" ht="13" x14ac:dyDescent="0.25">
      <c r="A11" s="9">
        <v>17</v>
      </c>
      <c r="B11" s="9" t="s">
        <v>45</v>
      </c>
      <c r="C11" s="9" t="s">
        <v>46</v>
      </c>
      <c r="D11" s="9" t="s">
        <v>30</v>
      </c>
      <c r="E11" s="9" t="s">
        <v>47</v>
      </c>
      <c r="F11" s="9" t="s">
        <v>48</v>
      </c>
      <c r="G11" s="9">
        <v>2000011308</v>
      </c>
      <c r="H11" s="9" t="s">
        <v>31</v>
      </c>
      <c r="I11" s="9" t="s">
        <v>49</v>
      </c>
      <c r="J11" s="9">
        <v>1</v>
      </c>
      <c r="L11" s="9">
        <v>1</v>
      </c>
      <c r="M11" s="9">
        <v>1</v>
      </c>
      <c r="O11" s="9">
        <v>1</v>
      </c>
      <c r="Q11" s="9">
        <v>1</v>
      </c>
      <c r="U11" s="9">
        <v>1</v>
      </c>
      <c r="V11" s="9">
        <v>1</v>
      </c>
      <c r="W11" s="9">
        <v>1</v>
      </c>
      <c r="X11" s="11" t="s">
        <v>419</v>
      </c>
      <c r="Y11" s="9" t="s">
        <v>50</v>
      </c>
    </row>
    <row r="12" spans="1:25" s="9" customFormat="1" x14ac:dyDescent="0.25">
      <c r="A12" s="9">
        <v>20</v>
      </c>
      <c r="B12" s="9" t="s">
        <v>51</v>
      </c>
      <c r="C12" s="9" t="s">
        <v>52</v>
      </c>
      <c r="D12" s="9" t="s">
        <v>16</v>
      </c>
      <c r="E12" s="9" t="s">
        <v>53</v>
      </c>
      <c r="F12" s="9" t="s">
        <v>54</v>
      </c>
      <c r="G12" s="9" t="s">
        <v>55</v>
      </c>
      <c r="H12" s="9" t="s">
        <v>31</v>
      </c>
      <c r="I12" s="9" t="s">
        <v>56</v>
      </c>
      <c r="J12" s="9">
        <v>1</v>
      </c>
      <c r="O12" s="9">
        <v>1</v>
      </c>
      <c r="P12" s="9">
        <v>1</v>
      </c>
      <c r="Q12" s="9">
        <v>1</v>
      </c>
      <c r="U12" s="9">
        <v>1</v>
      </c>
      <c r="V12" s="9">
        <v>1</v>
      </c>
      <c r="W12" s="9">
        <v>1</v>
      </c>
      <c r="Y12" s="9" t="s">
        <v>57</v>
      </c>
    </row>
    <row r="13" spans="1:25" s="9" customFormat="1" x14ac:dyDescent="0.25">
      <c r="A13" s="9">
        <v>22</v>
      </c>
      <c r="B13" s="9" t="s">
        <v>58</v>
      </c>
      <c r="C13" s="9" t="s">
        <v>59</v>
      </c>
      <c r="D13" s="9" t="s">
        <v>30</v>
      </c>
      <c r="E13" s="9" t="s">
        <v>60</v>
      </c>
      <c r="F13" s="9" t="s">
        <v>60</v>
      </c>
      <c r="G13" s="9">
        <v>2100012754</v>
      </c>
      <c r="H13" s="9" t="s">
        <v>61</v>
      </c>
      <c r="I13" s="9" t="s">
        <v>49</v>
      </c>
      <c r="L13" s="9">
        <v>1</v>
      </c>
      <c r="M13" s="9">
        <v>1</v>
      </c>
      <c r="O13" s="9">
        <v>1</v>
      </c>
      <c r="Q13" s="9">
        <v>1</v>
      </c>
      <c r="U13" s="9">
        <v>1</v>
      </c>
      <c r="V13" s="9">
        <v>1</v>
      </c>
      <c r="Y13" s="9" t="s">
        <v>29</v>
      </c>
    </row>
    <row r="14" spans="1:25" s="9" customFormat="1" ht="13" x14ac:dyDescent="0.25">
      <c r="A14" s="9">
        <v>23</v>
      </c>
      <c r="B14" s="9" t="s">
        <v>62</v>
      </c>
      <c r="C14" s="9" t="s">
        <v>63</v>
      </c>
      <c r="D14" s="9" t="s">
        <v>30</v>
      </c>
      <c r="E14" s="9" t="s">
        <v>64</v>
      </c>
      <c r="F14" s="9" t="s">
        <v>64</v>
      </c>
      <c r="G14" s="9">
        <v>2100011899</v>
      </c>
      <c r="H14" s="9" t="s">
        <v>31</v>
      </c>
      <c r="I14" s="9" t="s">
        <v>21</v>
      </c>
      <c r="J14" s="9">
        <v>1</v>
      </c>
      <c r="L14" s="9">
        <v>1</v>
      </c>
      <c r="O14" s="9">
        <v>1</v>
      </c>
      <c r="P14" s="9">
        <v>1</v>
      </c>
      <c r="U14" s="9">
        <v>1</v>
      </c>
      <c r="V14" s="9">
        <v>1</v>
      </c>
      <c r="W14" s="9">
        <v>1</v>
      </c>
      <c r="X14" s="11" t="s">
        <v>408</v>
      </c>
      <c r="Y14" s="9" t="s">
        <v>65</v>
      </c>
    </row>
    <row r="15" spans="1:25" s="9" customFormat="1" x14ac:dyDescent="0.25">
      <c r="A15" s="9">
        <v>24</v>
      </c>
      <c r="B15" s="9" t="s">
        <v>66</v>
      </c>
      <c r="C15" s="9" t="s">
        <v>67</v>
      </c>
      <c r="D15" s="9" t="s">
        <v>16</v>
      </c>
      <c r="E15" s="9" t="s">
        <v>68</v>
      </c>
      <c r="F15" s="9" t="s">
        <v>69</v>
      </c>
      <c r="G15" s="9" t="s">
        <v>70</v>
      </c>
      <c r="H15" s="9" t="s">
        <v>61</v>
      </c>
      <c r="I15" s="9" t="s">
        <v>37</v>
      </c>
      <c r="J15" s="9">
        <v>1</v>
      </c>
      <c r="O15" s="9">
        <v>1</v>
      </c>
      <c r="P15" s="9">
        <v>1</v>
      </c>
      <c r="Q15" s="9">
        <v>1</v>
      </c>
      <c r="U15" s="9">
        <v>1</v>
      </c>
      <c r="V15" s="9">
        <v>1</v>
      </c>
      <c r="W15" s="9">
        <v>1</v>
      </c>
      <c r="Y15" s="9" t="s">
        <v>71</v>
      </c>
    </row>
    <row r="16" spans="1:25" s="9" customFormat="1" x14ac:dyDescent="0.25">
      <c r="A16" s="9">
        <v>26</v>
      </c>
      <c r="B16" s="9" t="s">
        <v>72</v>
      </c>
      <c r="C16" s="9" t="s">
        <v>73</v>
      </c>
      <c r="D16" s="9" t="s">
        <v>16</v>
      </c>
      <c r="E16" s="9" t="s">
        <v>74</v>
      </c>
      <c r="F16" s="9" t="s">
        <v>74</v>
      </c>
      <c r="G16" s="9" t="s">
        <v>75</v>
      </c>
      <c r="H16" s="9" t="s">
        <v>44</v>
      </c>
      <c r="I16" s="9" t="s">
        <v>21</v>
      </c>
      <c r="J16" s="9">
        <v>1</v>
      </c>
      <c r="K16" s="9">
        <v>1</v>
      </c>
      <c r="O16" s="9">
        <v>1</v>
      </c>
      <c r="T16" s="9">
        <v>1</v>
      </c>
      <c r="V16" s="9">
        <v>1</v>
      </c>
      <c r="Y16" s="9" t="s">
        <v>76</v>
      </c>
    </row>
    <row r="17" spans="1:25" s="9" customFormat="1" x14ac:dyDescent="0.25">
      <c r="A17" s="9">
        <v>30</v>
      </c>
      <c r="B17" s="9" t="s">
        <v>79</v>
      </c>
      <c r="C17" s="9" t="s">
        <v>80</v>
      </c>
      <c r="D17" s="9" t="s">
        <v>30</v>
      </c>
      <c r="E17" s="9" t="s">
        <v>81</v>
      </c>
      <c r="F17" s="9" t="s">
        <v>81</v>
      </c>
      <c r="G17" s="9">
        <v>2000011351</v>
      </c>
      <c r="H17" s="9" t="s">
        <v>31</v>
      </c>
      <c r="I17" s="9" t="s">
        <v>49</v>
      </c>
      <c r="J17" s="9">
        <v>1</v>
      </c>
      <c r="O17" s="9">
        <v>1</v>
      </c>
      <c r="T17" s="9">
        <v>1</v>
      </c>
      <c r="V17" s="9">
        <v>1</v>
      </c>
      <c r="Y17" s="9" t="s">
        <v>82</v>
      </c>
    </row>
    <row r="18" spans="1:25" s="9" customFormat="1" x14ac:dyDescent="0.25">
      <c r="A18" s="9">
        <v>32</v>
      </c>
      <c r="B18" s="9" t="s">
        <v>83</v>
      </c>
      <c r="C18" s="9" t="s">
        <v>84</v>
      </c>
      <c r="D18" s="9" t="s">
        <v>30</v>
      </c>
      <c r="E18" s="9" t="s">
        <v>85</v>
      </c>
      <c r="F18" s="9" t="s">
        <v>85</v>
      </c>
      <c r="G18" s="9">
        <v>2001110085</v>
      </c>
      <c r="H18" s="9" t="s">
        <v>31</v>
      </c>
      <c r="I18" s="9" t="s">
        <v>86</v>
      </c>
      <c r="J18" s="9">
        <v>1</v>
      </c>
      <c r="O18" s="9">
        <v>1</v>
      </c>
      <c r="P18" s="9">
        <v>1</v>
      </c>
      <c r="R18" s="9">
        <v>1</v>
      </c>
      <c r="U18" s="9">
        <v>1</v>
      </c>
      <c r="V18" s="9">
        <v>1</v>
      </c>
      <c r="W18" s="9">
        <v>1</v>
      </c>
      <c r="Y18" s="9" t="s">
        <v>29</v>
      </c>
    </row>
    <row r="19" spans="1:25" s="9" customFormat="1" x14ac:dyDescent="0.25">
      <c r="A19" s="9">
        <v>33</v>
      </c>
      <c r="B19" s="9" t="s">
        <v>87</v>
      </c>
      <c r="C19" s="9" t="s">
        <v>88</v>
      </c>
      <c r="D19" s="9" t="s">
        <v>16</v>
      </c>
      <c r="E19" s="9" t="s">
        <v>89</v>
      </c>
      <c r="F19" s="9" t="s">
        <v>90</v>
      </c>
      <c r="G19" s="9" t="s">
        <v>91</v>
      </c>
      <c r="H19" s="9" t="s">
        <v>92</v>
      </c>
      <c r="I19" s="9" t="s">
        <v>37</v>
      </c>
      <c r="J19" s="9">
        <v>1</v>
      </c>
      <c r="K19" s="9">
        <v>1</v>
      </c>
      <c r="O19" s="9">
        <v>1</v>
      </c>
      <c r="P19" s="9">
        <v>1</v>
      </c>
      <c r="S19" s="9">
        <v>1</v>
      </c>
      <c r="U19" s="9" t="s">
        <v>93</v>
      </c>
      <c r="V19" s="9" t="s">
        <v>93</v>
      </c>
      <c r="W19" s="9" t="s">
        <v>93</v>
      </c>
      <c r="Y19" s="9" t="s">
        <v>94</v>
      </c>
    </row>
    <row r="20" spans="1:25" s="9" customFormat="1" x14ac:dyDescent="0.25">
      <c r="A20" s="9">
        <v>34</v>
      </c>
      <c r="B20" s="9" t="s">
        <v>95</v>
      </c>
      <c r="C20" s="9" t="s">
        <v>96</v>
      </c>
      <c r="D20" s="9" t="s">
        <v>16</v>
      </c>
      <c r="E20" s="9" t="s">
        <v>97</v>
      </c>
      <c r="F20" s="9" t="s">
        <v>98</v>
      </c>
      <c r="G20" s="9" t="s">
        <v>99</v>
      </c>
      <c r="H20" s="9" t="s">
        <v>100</v>
      </c>
      <c r="I20" s="9" t="s">
        <v>37</v>
      </c>
      <c r="J20" s="9">
        <v>1</v>
      </c>
      <c r="K20" s="9">
        <v>1</v>
      </c>
      <c r="O20" s="9">
        <v>1</v>
      </c>
      <c r="T20" s="9">
        <v>1</v>
      </c>
      <c r="U20" s="9" t="s">
        <v>93</v>
      </c>
      <c r="V20" s="9" t="s">
        <v>93</v>
      </c>
      <c r="W20" s="9" t="s">
        <v>93</v>
      </c>
      <c r="Y20" s="9" t="s">
        <v>29</v>
      </c>
    </row>
    <row r="21" spans="1:25" s="9" customFormat="1" ht="13" x14ac:dyDescent="0.25">
      <c r="A21" s="9">
        <v>37</v>
      </c>
      <c r="B21" s="9" t="s">
        <v>102</v>
      </c>
      <c r="C21" s="9" t="s">
        <v>103</v>
      </c>
      <c r="D21" s="9" t="s">
        <v>30</v>
      </c>
      <c r="E21" s="9" t="s">
        <v>104</v>
      </c>
      <c r="F21" s="9" t="s">
        <v>104</v>
      </c>
      <c r="G21" s="9" t="s">
        <v>105</v>
      </c>
      <c r="H21" s="9" t="s">
        <v>106</v>
      </c>
      <c r="I21" s="9" t="s">
        <v>21</v>
      </c>
      <c r="L21" s="9">
        <v>1</v>
      </c>
      <c r="M21" s="9">
        <v>1</v>
      </c>
      <c r="O21" s="9">
        <v>1</v>
      </c>
      <c r="P21" s="9">
        <v>1</v>
      </c>
      <c r="Q21" s="9">
        <v>1</v>
      </c>
      <c r="U21" s="9">
        <v>1</v>
      </c>
      <c r="V21" s="9">
        <v>1</v>
      </c>
      <c r="W21" s="9">
        <v>1</v>
      </c>
      <c r="X21" s="11" t="s">
        <v>409</v>
      </c>
      <c r="Y21" s="9" t="s">
        <v>107</v>
      </c>
    </row>
    <row r="22" spans="1:25" s="9" customFormat="1" ht="13" x14ac:dyDescent="0.25">
      <c r="A22" s="9">
        <v>38</v>
      </c>
      <c r="B22" s="9" t="s">
        <v>108</v>
      </c>
      <c r="C22" s="9" t="s">
        <v>109</v>
      </c>
      <c r="D22" s="9" t="s">
        <v>30</v>
      </c>
      <c r="E22" s="9" t="s">
        <v>110</v>
      </c>
      <c r="F22" s="9" t="s">
        <v>110</v>
      </c>
      <c r="G22" s="9" t="s">
        <v>111</v>
      </c>
      <c r="H22" s="9" t="s">
        <v>112</v>
      </c>
      <c r="I22" s="9" t="s">
        <v>21</v>
      </c>
      <c r="J22" s="9">
        <v>1</v>
      </c>
      <c r="L22" s="9">
        <v>1</v>
      </c>
      <c r="M22" s="9">
        <v>1</v>
      </c>
      <c r="O22" s="9">
        <v>1</v>
      </c>
      <c r="P22" s="9">
        <v>1</v>
      </c>
      <c r="U22" s="9">
        <v>1</v>
      </c>
      <c r="V22" s="9">
        <v>1</v>
      </c>
      <c r="W22" s="9">
        <v>1</v>
      </c>
      <c r="X22" s="11" t="s">
        <v>409</v>
      </c>
      <c r="Y22" s="9" t="s">
        <v>113</v>
      </c>
    </row>
    <row r="23" spans="1:25" s="9" customFormat="1" x14ac:dyDescent="0.25">
      <c r="A23" s="9">
        <v>39</v>
      </c>
      <c r="B23" s="9" t="s">
        <v>114</v>
      </c>
      <c r="C23" s="12" t="s">
        <v>434</v>
      </c>
      <c r="D23" s="9" t="s">
        <v>30</v>
      </c>
      <c r="E23" s="9" t="s">
        <v>115</v>
      </c>
      <c r="F23" s="9" t="s">
        <v>115</v>
      </c>
      <c r="G23" s="9">
        <v>2000011541</v>
      </c>
      <c r="H23" s="9" t="s">
        <v>31</v>
      </c>
      <c r="I23" s="9" t="s">
        <v>101</v>
      </c>
      <c r="L23" s="9">
        <v>1</v>
      </c>
      <c r="O23" s="9">
        <v>1</v>
      </c>
      <c r="P23" s="9">
        <v>1</v>
      </c>
      <c r="Q23" s="9">
        <v>1</v>
      </c>
      <c r="U23" s="9">
        <v>1</v>
      </c>
      <c r="Y23" s="9" t="s">
        <v>116</v>
      </c>
    </row>
    <row r="24" spans="1:25" s="9" customFormat="1" ht="13" x14ac:dyDescent="0.25">
      <c r="A24" s="9">
        <v>40</v>
      </c>
      <c r="B24" s="9" t="s">
        <v>117</v>
      </c>
      <c r="C24" s="9" t="s">
        <v>118</v>
      </c>
      <c r="D24" s="9" t="s">
        <v>30</v>
      </c>
      <c r="E24" s="9" t="s">
        <v>119</v>
      </c>
      <c r="F24" s="9" t="s">
        <v>120</v>
      </c>
      <c r="G24" s="9">
        <v>2010120106</v>
      </c>
      <c r="H24" s="9" t="s">
        <v>121</v>
      </c>
      <c r="I24" s="9" t="s">
        <v>101</v>
      </c>
      <c r="M24" s="9">
        <v>1</v>
      </c>
      <c r="O24" s="9">
        <v>1</v>
      </c>
      <c r="P24" s="9">
        <v>1</v>
      </c>
      <c r="Q24" s="9">
        <v>1</v>
      </c>
      <c r="U24" s="9">
        <v>1</v>
      </c>
      <c r="V24" s="9">
        <v>1</v>
      </c>
      <c r="X24" s="13" t="s">
        <v>410</v>
      </c>
      <c r="Y24" s="9" t="s">
        <v>122</v>
      </c>
    </row>
    <row r="25" spans="1:25" s="9" customFormat="1" x14ac:dyDescent="0.25">
      <c r="A25" s="9">
        <v>41</v>
      </c>
      <c r="B25" s="9" t="s">
        <v>123</v>
      </c>
      <c r="C25" s="9" t="s">
        <v>124</v>
      </c>
      <c r="D25" s="9" t="s">
        <v>16</v>
      </c>
      <c r="E25" s="9" t="s">
        <v>125</v>
      </c>
      <c r="F25" s="9" t="s">
        <v>126</v>
      </c>
      <c r="G25" s="9" t="s">
        <v>127</v>
      </c>
      <c r="H25" s="9" t="s">
        <v>128</v>
      </c>
      <c r="I25" s="9" t="s">
        <v>37</v>
      </c>
      <c r="J25" s="9">
        <v>1</v>
      </c>
      <c r="O25" s="9">
        <v>1</v>
      </c>
      <c r="P25" s="9">
        <v>1</v>
      </c>
      <c r="U25" s="9">
        <v>1</v>
      </c>
      <c r="V25" s="9">
        <v>1</v>
      </c>
      <c r="W25" s="9">
        <v>1</v>
      </c>
      <c r="Y25" s="9" t="s">
        <v>29</v>
      </c>
    </row>
    <row r="26" spans="1:25" s="9" customFormat="1" x14ac:dyDescent="0.25">
      <c r="A26" s="9">
        <v>44</v>
      </c>
      <c r="B26" s="9" t="s">
        <v>129</v>
      </c>
      <c r="C26" s="9" t="s">
        <v>130</v>
      </c>
      <c r="D26" s="9" t="s">
        <v>30</v>
      </c>
      <c r="E26" s="9" t="s">
        <v>131</v>
      </c>
      <c r="F26" s="9" t="s">
        <v>132</v>
      </c>
      <c r="G26" s="9" t="s">
        <v>133</v>
      </c>
      <c r="H26" s="9" t="s">
        <v>134</v>
      </c>
      <c r="I26" s="9" t="s">
        <v>37</v>
      </c>
      <c r="J26" s="9">
        <v>1</v>
      </c>
      <c r="O26" s="9">
        <v>1</v>
      </c>
      <c r="P26" s="9">
        <v>1</v>
      </c>
      <c r="Q26" s="9">
        <v>1</v>
      </c>
      <c r="U26" s="9">
        <v>1</v>
      </c>
      <c r="V26" s="9">
        <v>1</v>
      </c>
      <c r="W26" s="9">
        <v>1</v>
      </c>
      <c r="Y26" s="9" t="s">
        <v>135</v>
      </c>
    </row>
    <row r="27" spans="1:25" s="9" customFormat="1" ht="13" x14ac:dyDescent="0.25">
      <c r="A27" s="9">
        <v>46</v>
      </c>
      <c r="B27" s="9" t="s">
        <v>136</v>
      </c>
      <c r="C27" s="9" t="s">
        <v>137</v>
      </c>
      <c r="D27" s="9" t="s">
        <v>30</v>
      </c>
      <c r="E27" s="9" t="s">
        <v>138</v>
      </c>
      <c r="F27" s="9" t="s">
        <v>139</v>
      </c>
      <c r="G27" s="9">
        <v>2100011856</v>
      </c>
      <c r="H27" s="9" t="s">
        <v>140</v>
      </c>
      <c r="I27" s="9" t="s">
        <v>21</v>
      </c>
      <c r="J27" s="9">
        <v>1</v>
      </c>
      <c r="O27" s="9">
        <v>1</v>
      </c>
      <c r="Q27" s="9">
        <v>1</v>
      </c>
      <c r="U27" s="9">
        <v>1</v>
      </c>
      <c r="V27" s="9">
        <v>1</v>
      </c>
      <c r="W27" s="9">
        <v>1</v>
      </c>
      <c r="X27" s="11" t="s">
        <v>411</v>
      </c>
      <c r="Y27" s="9" t="s">
        <v>141</v>
      </c>
    </row>
    <row r="28" spans="1:25" s="9" customFormat="1" x14ac:dyDescent="0.25">
      <c r="A28" s="9">
        <v>51</v>
      </c>
      <c r="B28" s="9" t="s">
        <v>148</v>
      </c>
      <c r="C28" s="9" t="s">
        <v>149</v>
      </c>
      <c r="D28" s="9" t="s">
        <v>16</v>
      </c>
      <c r="E28" s="9" t="s">
        <v>150</v>
      </c>
      <c r="F28" s="9" t="s">
        <v>151</v>
      </c>
      <c r="G28" s="9" t="s">
        <v>152</v>
      </c>
      <c r="H28" s="9" t="s">
        <v>153</v>
      </c>
      <c r="I28" s="9" t="s">
        <v>37</v>
      </c>
      <c r="J28" s="9">
        <v>1</v>
      </c>
      <c r="K28" s="9">
        <v>1</v>
      </c>
      <c r="O28" s="9">
        <v>1</v>
      </c>
      <c r="T28" s="9">
        <v>1</v>
      </c>
      <c r="U28" s="9" t="s">
        <v>93</v>
      </c>
      <c r="V28" s="9" t="s">
        <v>93</v>
      </c>
      <c r="W28" s="9" t="s">
        <v>93</v>
      </c>
      <c r="Y28" s="9" t="s">
        <v>154</v>
      </c>
    </row>
    <row r="29" spans="1:25" s="9" customFormat="1" x14ac:dyDescent="0.25">
      <c r="A29" s="9">
        <v>52</v>
      </c>
      <c r="B29" s="9" t="s">
        <v>155</v>
      </c>
      <c r="C29" s="9" t="s">
        <v>156</v>
      </c>
      <c r="D29" s="9" t="s">
        <v>16</v>
      </c>
      <c r="E29" s="9" t="s">
        <v>157</v>
      </c>
      <c r="F29" s="9" t="s">
        <v>158</v>
      </c>
      <c r="G29" s="9" t="s">
        <v>159</v>
      </c>
      <c r="H29" s="9" t="s">
        <v>160</v>
      </c>
      <c r="I29" s="9" t="s">
        <v>161</v>
      </c>
      <c r="J29" s="9">
        <v>1</v>
      </c>
      <c r="K29" s="9">
        <v>1</v>
      </c>
      <c r="O29" s="9">
        <v>1</v>
      </c>
      <c r="T29" s="9">
        <v>1</v>
      </c>
      <c r="U29" s="9" t="s">
        <v>93</v>
      </c>
      <c r="V29" s="9" t="s">
        <v>93</v>
      </c>
      <c r="W29" s="9" t="s">
        <v>93</v>
      </c>
      <c r="Y29" s="9" t="s">
        <v>162</v>
      </c>
    </row>
    <row r="30" spans="1:25" s="9" customFormat="1" x14ac:dyDescent="0.25">
      <c r="A30" s="9">
        <v>53</v>
      </c>
      <c r="B30" s="9" t="s">
        <v>163</v>
      </c>
      <c r="C30" s="9" t="s">
        <v>164</v>
      </c>
      <c r="D30" s="9" t="s">
        <v>30</v>
      </c>
      <c r="E30" s="9" t="s">
        <v>165</v>
      </c>
      <c r="F30" s="9" t="s">
        <v>166</v>
      </c>
      <c r="G30" s="9" t="s">
        <v>167</v>
      </c>
      <c r="H30" s="9" t="s">
        <v>61</v>
      </c>
      <c r="I30" s="9" t="s">
        <v>37</v>
      </c>
      <c r="J30" s="9">
        <v>1</v>
      </c>
      <c r="K30" s="9">
        <v>1</v>
      </c>
      <c r="O30" s="9">
        <v>1</v>
      </c>
      <c r="T30" s="9">
        <v>1</v>
      </c>
      <c r="U30" s="9" t="s">
        <v>93</v>
      </c>
      <c r="V30" s="9" t="s">
        <v>93</v>
      </c>
      <c r="W30" s="9" t="s">
        <v>93</v>
      </c>
      <c r="Y30" s="9" t="s">
        <v>168</v>
      </c>
    </row>
    <row r="31" spans="1:25" s="9" customFormat="1" x14ac:dyDescent="0.25">
      <c r="A31" s="9">
        <v>56</v>
      </c>
      <c r="B31" s="9" t="s">
        <v>175</v>
      </c>
      <c r="C31" s="9" t="s">
        <v>176</v>
      </c>
      <c r="D31" s="9" t="s">
        <v>30</v>
      </c>
      <c r="E31" s="9" t="s">
        <v>177</v>
      </c>
      <c r="F31" s="9" t="s">
        <v>178</v>
      </c>
      <c r="G31" s="9" t="s">
        <v>179</v>
      </c>
      <c r="H31" s="9" t="s">
        <v>180</v>
      </c>
      <c r="I31" s="9" t="s">
        <v>37</v>
      </c>
      <c r="J31" s="9">
        <v>1</v>
      </c>
      <c r="O31" s="9">
        <v>1</v>
      </c>
      <c r="P31" s="9">
        <v>1</v>
      </c>
      <c r="T31" s="9">
        <v>1</v>
      </c>
      <c r="V31" s="9">
        <v>1</v>
      </c>
      <c r="W31" s="9">
        <v>1</v>
      </c>
      <c r="Y31" s="9" t="s">
        <v>181</v>
      </c>
    </row>
    <row r="32" spans="1:25" s="9" customFormat="1" x14ac:dyDescent="0.25">
      <c r="A32" s="9">
        <v>59</v>
      </c>
      <c r="B32" s="9" t="s">
        <v>182</v>
      </c>
      <c r="C32" s="9" t="s">
        <v>183</v>
      </c>
      <c r="D32" s="9" t="s">
        <v>30</v>
      </c>
      <c r="E32" s="9" t="s">
        <v>184</v>
      </c>
      <c r="F32" s="9" t="s">
        <v>185</v>
      </c>
      <c r="G32" s="9" t="s">
        <v>186</v>
      </c>
      <c r="H32" s="9" t="s">
        <v>187</v>
      </c>
      <c r="I32" s="9" t="s">
        <v>188</v>
      </c>
      <c r="J32" s="9">
        <v>1</v>
      </c>
      <c r="K32" s="9">
        <v>1</v>
      </c>
      <c r="O32" s="9">
        <v>1</v>
      </c>
      <c r="T32" s="9">
        <v>1</v>
      </c>
      <c r="U32" s="9" t="s">
        <v>93</v>
      </c>
      <c r="V32" s="9" t="s">
        <v>93</v>
      </c>
      <c r="W32" s="9" t="s">
        <v>93</v>
      </c>
      <c r="Y32" s="9" t="s">
        <v>189</v>
      </c>
    </row>
    <row r="33" spans="1:25" s="9" customFormat="1" x14ac:dyDescent="0.25">
      <c r="A33" s="9">
        <v>63</v>
      </c>
      <c r="B33" s="9" t="s">
        <v>194</v>
      </c>
      <c r="C33" s="9" t="s">
        <v>195</v>
      </c>
      <c r="D33" s="9" t="s">
        <v>16</v>
      </c>
      <c r="E33" s="9" t="s">
        <v>196</v>
      </c>
      <c r="F33" s="9" t="s">
        <v>197</v>
      </c>
      <c r="G33" s="9" t="s">
        <v>198</v>
      </c>
      <c r="H33" s="9" t="s">
        <v>160</v>
      </c>
      <c r="I33" s="9" t="s">
        <v>21</v>
      </c>
      <c r="J33" s="9">
        <v>1</v>
      </c>
      <c r="K33" s="9">
        <v>1</v>
      </c>
      <c r="O33" s="9">
        <v>1</v>
      </c>
      <c r="R33" s="9">
        <v>1</v>
      </c>
      <c r="W33" s="9">
        <v>1</v>
      </c>
      <c r="Y33" s="9" t="s">
        <v>199</v>
      </c>
    </row>
    <row r="34" spans="1:25" s="9" customFormat="1" x14ac:dyDescent="0.25">
      <c r="A34" s="9">
        <v>64</v>
      </c>
      <c r="B34" s="9" t="s">
        <v>200</v>
      </c>
      <c r="C34" s="9" t="s">
        <v>201</v>
      </c>
      <c r="D34" s="9" t="s">
        <v>30</v>
      </c>
      <c r="E34" s="9" t="s">
        <v>202</v>
      </c>
      <c r="F34" s="9" t="s">
        <v>203</v>
      </c>
      <c r="G34" s="9">
        <v>2101213232</v>
      </c>
      <c r="H34" s="9" t="s">
        <v>204</v>
      </c>
      <c r="I34" s="9" t="s">
        <v>205</v>
      </c>
      <c r="J34" s="9">
        <v>1</v>
      </c>
      <c r="O34" s="9">
        <v>1</v>
      </c>
      <c r="R34" s="9">
        <v>1</v>
      </c>
      <c r="V34" s="9">
        <v>1</v>
      </c>
      <c r="W34" s="9">
        <v>1</v>
      </c>
      <c r="Y34" s="9" t="s">
        <v>29</v>
      </c>
    </row>
    <row r="35" spans="1:25" s="9" customFormat="1" x14ac:dyDescent="0.25">
      <c r="A35" s="9">
        <v>66</v>
      </c>
      <c r="B35" s="9" t="s">
        <v>206</v>
      </c>
      <c r="C35" s="9" t="s">
        <v>207</v>
      </c>
      <c r="D35" s="9" t="s">
        <v>30</v>
      </c>
      <c r="E35" s="9" t="s">
        <v>208</v>
      </c>
      <c r="F35" s="9" t="s">
        <v>209</v>
      </c>
      <c r="G35" s="9" t="s">
        <v>210</v>
      </c>
      <c r="H35" s="9" t="s">
        <v>20</v>
      </c>
      <c r="I35" s="9" t="s">
        <v>211</v>
      </c>
      <c r="J35" s="9">
        <v>1</v>
      </c>
      <c r="K35" s="9">
        <v>1</v>
      </c>
      <c r="O35" s="9">
        <v>1</v>
      </c>
      <c r="P35" s="9">
        <v>1</v>
      </c>
      <c r="T35" s="9">
        <v>1</v>
      </c>
      <c r="U35" s="9" t="s">
        <v>93</v>
      </c>
      <c r="V35" s="9" t="s">
        <v>93</v>
      </c>
      <c r="W35" s="9" t="s">
        <v>93</v>
      </c>
      <c r="Y35" s="9" t="s">
        <v>212</v>
      </c>
    </row>
    <row r="36" spans="1:25" s="9" customFormat="1" ht="13" x14ac:dyDescent="0.25">
      <c r="A36" s="9">
        <v>69</v>
      </c>
      <c r="B36" s="9" t="s">
        <v>220</v>
      </c>
      <c r="C36" s="9" t="s">
        <v>221</v>
      </c>
      <c r="D36" s="9" t="s">
        <v>30</v>
      </c>
      <c r="E36" s="9" t="s">
        <v>222</v>
      </c>
      <c r="F36" s="9" t="s">
        <v>223</v>
      </c>
      <c r="G36" s="9" t="s">
        <v>224</v>
      </c>
      <c r="H36" s="9" t="s">
        <v>31</v>
      </c>
      <c r="I36" s="9" t="s">
        <v>21</v>
      </c>
      <c r="J36" s="9">
        <v>1</v>
      </c>
      <c r="L36" s="9">
        <v>1</v>
      </c>
      <c r="M36" s="9">
        <v>1</v>
      </c>
      <c r="O36" s="9">
        <v>1</v>
      </c>
      <c r="P36" s="9">
        <v>1</v>
      </c>
      <c r="Q36" s="9">
        <v>1</v>
      </c>
      <c r="U36" s="9">
        <v>1</v>
      </c>
      <c r="V36" s="9">
        <v>1</v>
      </c>
      <c r="W36" s="9">
        <v>1</v>
      </c>
      <c r="X36" s="11" t="s">
        <v>412</v>
      </c>
      <c r="Y36" s="9" t="s">
        <v>225</v>
      </c>
    </row>
    <row r="37" spans="1:25" s="9" customFormat="1" x14ac:dyDescent="0.25">
      <c r="A37" s="9">
        <v>71</v>
      </c>
      <c r="B37" s="9" t="s">
        <v>226</v>
      </c>
      <c r="C37" s="9" t="s">
        <v>227</v>
      </c>
      <c r="D37" s="9" t="s">
        <v>30</v>
      </c>
      <c r="E37" s="9" t="s">
        <v>228</v>
      </c>
      <c r="F37" s="9" t="s">
        <v>229</v>
      </c>
      <c r="G37" s="9" t="s">
        <v>230</v>
      </c>
      <c r="H37" s="9" t="s">
        <v>106</v>
      </c>
      <c r="I37" s="9" t="s">
        <v>21</v>
      </c>
      <c r="J37" s="9">
        <v>1</v>
      </c>
      <c r="O37" s="9">
        <v>1</v>
      </c>
      <c r="T37" s="9">
        <v>1</v>
      </c>
      <c r="U37" s="9">
        <v>1</v>
      </c>
      <c r="V37" s="9">
        <v>1</v>
      </c>
      <c r="Y37" s="9" t="s">
        <v>231</v>
      </c>
    </row>
    <row r="38" spans="1:25" s="9" customFormat="1" x14ac:dyDescent="0.25">
      <c r="A38" s="9">
        <v>72</v>
      </c>
      <c r="B38" s="9" t="s">
        <v>232</v>
      </c>
      <c r="C38" s="9" t="s">
        <v>233</v>
      </c>
      <c r="D38" s="9" t="s">
        <v>16</v>
      </c>
      <c r="E38" s="9" t="s">
        <v>234</v>
      </c>
      <c r="F38" s="9" t="s">
        <v>235</v>
      </c>
      <c r="G38" s="9" t="s">
        <v>236</v>
      </c>
      <c r="H38" s="9" t="s">
        <v>237</v>
      </c>
      <c r="I38" s="9" t="s">
        <v>37</v>
      </c>
      <c r="J38" s="9">
        <v>1</v>
      </c>
      <c r="K38" s="9">
        <v>1</v>
      </c>
      <c r="O38" s="9">
        <v>1</v>
      </c>
      <c r="T38" s="9">
        <v>1</v>
      </c>
      <c r="V38" s="9">
        <v>1</v>
      </c>
      <c r="Y38" s="9" t="s">
        <v>29</v>
      </c>
    </row>
    <row r="39" spans="1:25" s="9" customFormat="1" x14ac:dyDescent="0.25">
      <c r="A39" s="9">
        <v>73</v>
      </c>
      <c r="B39" s="9" t="s">
        <v>238</v>
      </c>
      <c r="C39" s="9" t="s">
        <v>239</v>
      </c>
      <c r="D39" s="9" t="s">
        <v>16</v>
      </c>
      <c r="E39" s="9" t="s">
        <v>240</v>
      </c>
      <c r="F39" s="9" t="s">
        <v>241</v>
      </c>
      <c r="G39" s="9" t="s">
        <v>242</v>
      </c>
      <c r="H39" s="9" t="s">
        <v>28</v>
      </c>
      <c r="I39" s="9" t="s">
        <v>37</v>
      </c>
      <c r="J39" s="9">
        <v>1</v>
      </c>
      <c r="O39" s="9">
        <v>1</v>
      </c>
      <c r="P39" s="9">
        <v>1</v>
      </c>
      <c r="U39" s="9">
        <v>1</v>
      </c>
      <c r="V39" s="9">
        <v>1</v>
      </c>
      <c r="W39" s="9">
        <v>1</v>
      </c>
      <c r="Y39" s="9" t="s">
        <v>243</v>
      </c>
    </row>
    <row r="40" spans="1:25" s="9" customFormat="1" x14ac:dyDescent="0.25">
      <c r="A40" s="9">
        <v>74</v>
      </c>
      <c r="B40" s="9" t="s">
        <v>244</v>
      </c>
      <c r="C40" s="9" t="s">
        <v>245</v>
      </c>
      <c r="D40" s="9" t="s">
        <v>30</v>
      </c>
      <c r="E40" s="9" t="s">
        <v>246</v>
      </c>
      <c r="F40" s="9" t="s">
        <v>246</v>
      </c>
      <c r="G40" s="9" t="s">
        <v>247</v>
      </c>
      <c r="H40" s="9" t="s">
        <v>248</v>
      </c>
      <c r="I40" s="9" t="s">
        <v>21</v>
      </c>
      <c r="L40" s="9">
        <v>1</v>
      </c>
      <c r="M40" s="9">
        <v>1</v>
      </c>
      <c r="O40" s="9">
        <v>1</v>
      </c>
      <c r="Q40" s="9">
        <v>1</v>
      </c>
      <c r="U40" s="9">
        <v>1</v>
      </c>
      <c r="V40" s="9">
        <v>1</v>
      </c>
      <c r="W40" s="9">
        <v>1</v>
      </c>
      <c r="Y40" s="9" t="s">
        <v>29</v>
      </c>
    </row>
    <row r="41" spans="1:25" s="9" customFormat="1" ht="13" x14ac:dyDescent="0.25">
      <c r="A41" s="9">
        <v>75</v>
      </c>
      <c r="B41" s="9" t="s">
        <v>249</v>
      </c>
      <c r="C41" s="9" t="s">
        <v>250</v>
      </c>
      <c r="D41" s="9" t="s">
        <v>30</v>
      </c>
      <c r="E41" s="9" t="s">
        <v>251</v>
      </c>
      <c r="F41" s="9" t="s">
        <v>251</v>
      </c>
      <c r="G41" s="9" t="s">
        <v>252</v>
      </c>
      <c r="H41" s="9" t="s">
        <v>100</v>
      </c>
      <c r="I41" s="9" t="s">
        <v>219</v>
      </c>
      <c r="J41" s="9">
        <v>1</v>
      </c>
      <c r="O41" s="9">
        <v>1</v>
      </c>
      <c r="Q41" s="9">
        <v>1</v>
      </c>
      <c r="V41" s="9">
        <v>1</v>
      </c>
      <c r="W41" s="9">
        <v>1</v>
      </c>
      <c r="X41" s="11" t="s">
        <v>412</v>
      </c>
      <c r="Y41" s="9" t="s">
        <v>253</v>
      </c>
    </row>
    <row r="42" spans="1:25" s="9" customFormat="1" x14ac:dyDescent="0.25">
      <c r="A42" s="9">
        <v>77</v>
      </c>
      <c r="B42" s="9" t="s">
        <v>254</v>
      </c>
      <c r="C42" s="9" t="s">
        <v>255</v>
      </c>
      <c r="D42" s="9" t="s">
        <v>16</v>
      </c>
      <c r="E42" s="9" t="s">
        <v>256</v>
      </c>
      <c r="F42" s="9" t="s">
        <v>257</v>
      </c>
      <c r="G42" s="9">
        <v>2110108109</v>
      </c>
      <c r="H42" s="9" t="s">
        <v>153</v>
      </c>
      <c r="I42" s="9" t="s">
        <v>49</v>
      </c>
      <c r="J42" s="9">
        <v>1</v>
      </c>
      <c r="L42" s="9">
        <v>1</v>
      </c>
      <c r="M42" s="9">
        <v>1</v>
      </c>
      <c r="O42" s="9">
        <v>1</v>
      </c>
      <c r="P42" s="9">
        <v>1</v>
      </c>
      <c r="Q42" s="9">
        <v>1</v>
      </c>
      <c r="U42" s="9">
        <v>1</v>
      </c>
      <c r="V42" s="9">
        <v>1</v>
      </c>
      <c r="W42" s="9">
        <v>1</v>
      </c>
      <c r="Y42" s="9" t="s">
        <v>258</v>
      </c>
    </row>
    <row r="43" spans="1:25" s="9" customFormat="1" ht="13" x14ac:dyDescent="0.25">
      <c r="A43" s="9">
        <v>81</v>
      </c>
      <c r="B43" s="9" t="s">
        <v>264</v>
      </c>
      <c r="C43" s="9" t="s">
        <v>265</v>
      </c>
      <c r="D43" s="9" t="s">
        <v>16</v>
      </c>
      <c r="E43" s="9" t="s">
        <v>266</v>
      </c>
      <c r="F43" s="9" t="s">
        <v>267</v>
      </c>
      <c r="G43" s="9">
        <v>2000016207</v>
      </c>
      <c r="H43" s="9" t="s">
        <v>77</v>
      </c>
      <c r="I43" s="9" t="s">
        <v>101</v>
      </c>
      <c r="J43" s="9">
        <v>1</v>
      </c>
      <c r="L43" s="9">
        <v>1</v>
      </c>
      <c r="M43" s="9">
        <v>1</v>
      </c>
      <c r="O43" s="9">
        <v>1</v>
      </c>
      <c r="P43" s="9">
        <v>1</v>
      </c>
      <c r="Q43" s="9">
        <v>1</v>
      </c>
      <c r="U43" s="9">
        <v>1</v>
      </c>
      <c r="V43" s="9">
        <v>1</v>
      </c>
      <c r="W43" s="9">
        <v>1</v>
      </c>
      <c r="X43" s="11" t="s">
        <v>408</v>
      </c>
      <c r="Y43" s="9" t="s">
        <v>268</v>
      </c>
    </row>
    <row r="44" spans="1:25" s="9" customFormat="1" x14ac:dyDescent="0.25">
      <c r="A44" s="9">
        <v>83</v>
      </c>
      <c r="B44" s="9" t="s">
        <v>269</v>
      </c>
      <c r="C44" s="9" t="s">
        <v>270</v>
      </c>
      <c r="D44" s="9" t="s">
        <v>30</v>
      </c>
      <c r="E44" s="9" t="s">
        <v>271</v>
      </c>
      <c r="F44" s="9" t="s">
        <v>272</v>
      </c>
      <c r="G44" s="9" t="s">
        <v>273</v>
      </c>
      <c r="H44" s="9" t="s">
        <v>274</v>
      </c>
      <c r="I44" s="9" t="s">
        <v>21</v>
      </c>
      <c r="J44" s="9">
        <v>1</v>
      </c>
      <c r="O44" s="9">
        <v>1</v>
      </c>
      <c r="P44" s="9">
        <v>1</v>
      </c>
      <c r="S44" s="9">
        <v>1</v>
      </c>
      <c r="U44" s="9">
        <v>1</v>
      </c>
      <c r="V44" s="9">
        <v>1</v>
      </c>
      <c r="Y44" s="9" t="s">
        <v>29</v>
      </c>
    </row>
    <row r="45" spans="1:25" s="9" customFormat="1" ht="13" x14ac:dyDescent="0.25">
      <c r="A45" s="9">
        <v>84</v>
      </c>
      <c r="B45" s="9" t="s">
        <v>275</v>
      </c>
      <c r="C45" s="9" t="s">
        <v>276</v>
      </c>
      <c r="D45" s="9" t="s">
        <v>16</v>
      </c>
      <c r="E45" s="9" t="s">
        <v>277</v>
      </c>
      <c r="F45" s="9" t="s">
        <v>278</v>
      </c>
      <c r="G45" s="9" t="s">
        <v>279</v>
      </c>
      <c r="H45" s="9" t="s">
        <v>153</v>
      </c>
      <c r="I45" s="9" t="s">
        <v>21</v>
      </c>
      <c r="L45" s="9">
        <v>1</v>
      </c>
      <c r="O45" s="9">
        <v>1</v>
      </c>
      <c r="P45" s="9">
        <v>1</v>
      </c>
      <c r="Q45" s="9">
        <v>1</v>
      </c>
      <c r="U45" s="9">
        <v>1</v>
      </c>
      <c r="X45" s="11" t="s">
        <v>411</v>
      </c>
      <c r="Y45" s="9" t="s">
        <v>141</v>
      </c>
    </row>
    <row r="46" spans="1:25" s="9" customFormat="1" x14ac:dyDescent="0.25">
      <c r="A46" s="9">
        <v>87</v>
      </c>
      <c r="B46" s="9" t="s">
        <v>280</v>
      </c>
      <c r="C46" s="9" t="s">
        <v>281</v>
      </c>
      <c r="D46" s="9" t="s">
        <v>30</v>
      </c>
      <c r="E46" s="9" t="s">
        <v>282</v>
      </c>
      <c r="F46" s="9" t="s">
        <v>283</v>
      </c>
      <c r="G46" s="9" t="s">
        <v>284</v>
      </c>
      <c r="H46" s="9" t="s">
        <v>180</v>
      </c>
      <c r="I46" s="9" t="s">
        <v>37</v>
      </c>
      <c r="J46" s="9">
        <v>1</v>
      </c>
      <c r="K46" s="9">
        <v>1</v>
      </c>
      <c r="O46" s="9">
        <v>1</v>
      </c>
      <c r="T46" s="9">
        <v>1</v>
      </c>
      <c r="U46" s="9" t="s">
        <v>93</v>
      </c>
      <c r="V46" s="9" t="s">
        <v>93</v>
      </c>
      <c r="W46" s="9" t="s">
        <v>93</v>
      </c>
      <c r="Y46" s="9" t="s">
        <v>285</v>
      </c>
    </row>
    <row r="47" spans="1:25" s="9" customFormat="1" ht="13" x14ac:dyDescent="0.25">
      <c r="A47" s="9">
        <v>88</v>
      </c>
      <c r="B47" s="9" t="s">
        <v>286</v>
      </c>
      <c r="C47" s="9" t="s">
        <v>287</v>
      </c>
      <c r="D47" s="9" t="s">
        <v>30</v>
      </c>
      <c r="E47" s="9" t="s">
        <v>288</v>
      </c>
      <c r="F47" s="9" t="s">
        <v>289</v>
      </c>
      <c r="G47" s="9" t="s">
        <v>290</v>
      </c>
      <c r="H47" s="9" t="s">
        <v>291</v>
      </c>
      <c r="I47" s="9" t="s">
        <v>37</v>
      </c>
      <c r="J47" s="9">
        <v>1</v>
      </c>
      <c r="O47" s="9">
        <v>1</v>
      </c>
      <c r="P47" s="9">
        <v>1</v>
      </c>
      <c r="Q47" s="9">
        <v>1</v>
      </c>
      <c r="U47" s="9">
        <v>1</v>
      </c>
      <c r="V47" s="9">
        <v>1</v>
      </c>
      <c r="X47" s="11" t="s">
        <v>412</v>
      </c>
      <c r="Y47" s="9" t="s">
        <v>292</v>
      </c>
    </row>
    <row r="48" spans="1:25" s="9" customFormat="1" ht="13" x14ac:dyDescent="0.25">
      <c r="A48" s="9">
        <v>91</v>
      </c>
      <c r="B48" s="9" t="s">
        <v>293</v>
      </c>
      <c r="C48" s="9" t="s">
        <v>294</v>
      </c>
      <c r="D48" s="9" t="s">
        <v>30</v>
      </c>
      <c r="E48" s="9" t="s">
        <v>295</v>
      </c>
      <c r="F48" s="9" t="s">
        <v>296</v>
      </c>
      <c r="G48" s="9" t="s">
        <v>297</v>
      </c>
      <c r="H48" s="9" t="s">
        <v>28</v>
      </c>
      <c r="I48" s="9" t="s">
        <v>21</v>
      </c>
      <c r="L48" s="9">
        <v>1</v>
      </c>
      <c r="M48" s="9">
        <v>1</v>
      </c>
      <c r="O48" s="9">
        <v>1</v>
      </c>
      <c r="Q48" s="9">
        <v>1</v>
      </c>
      <c r="U48" s="9">
        <v>1</v>
      </c>
      <c r="V48" s="9">
        <v>1</v>
      </c>
      <c r="W48" s="9">
        <v>1</v>
      </c>
      <c r="X48" s="11" t="s">
        <v>413</v>
      </c>
      <c r="Y48" s="9" t="s">
        <v>298</v>
      </c>
    </row>
    <row r="49" spans="1:25" s="9" customFormat="1" x14ac:dyDescent="0.25">
      <c r="A49" s="9">
        <v>96</v>
      </c>
      <c r="B49" s="9" t="s">
        <v>299</v>
      </c>
      <c r="C49" s="9" t="s">
        <v>300</v>
      </c>
      <c r="D49" s="9" t="s">
        <v>16</v>
      </c>
      <c r="E49" s="9" t="s">
        <v>301</v>
      </c>
      <c r="F49" s="9" t="s">
        <v>301</v>
      </c>
      <c r="G49" s="9" t="s">
        <v>302</v>
      </c>
      <c r="H49" s="9" t="s">
        <v>44</v>
      </c>
      <c r="I49" s="9" t="s">
        <v>303</v>
      </c>
      <c r="J49" s="9">
        <v>1</v>
      </c>
      <c r="O49" s="9">
        <v>1</v>
      </c>
      <c r="Q49" s="9">
        <v>1</v>
      </c>
      <c r="U49" s="9">
        <v>1</v>
      </c>
      <c r="V49" s="9">
        <v>1</v>
      </c>
      <c r="W49" s="9">
        <v>1</v>
      </c>
      <c r="Y49" s="9" t="s">
        <v>304</v>
      </c>
    </row>
    <row r="50" spans="1:25" s="9" customFormat="1" x14ac:dyDescent="0.25">
      <c r="A50" s="9">
        <v>97</v>
      </c>
      <c r="B50" s="9" t="s">
        <v>305</v>
      </c>
      <c r="C50" s="9" t="s">
        <v>306</v>
      </c>
      <c r="D50" s="9" t="s">
        <v>30</v>
      </c>
      <c r="E50" s="9" t="s">
        <v>307</v>
      </c>
      <c r="F50" s="9" t="s">
        <v>308</v>
      </c>
      <c r="G50" s="9" t="s">
        <v>309</v>
      </c>
      <c r="H50" s="9" t="s">
        <v>310</v>
      </c>
      <c r="I50" s="9" t="s">
        <v>37</v>
      </c>
      <c r="J50" s="9">
        <v>1</v>
      </c>
      <c r="K50" s="9">
        <v>1</v>
      </c>
      <c r="O50" s="9">
        <v>1</v>
      </c>
      <c r="T50" s="9">
        <v>1</v>
      </c>
      <c r="U50" s="9" t="s">
        <v>93</v>
      </c>
      <c r="V50" s="9" t="s">
        <v>93</v>
      </c>
      <c r="W50" s="9" t="s">
        <v>93</v>
      </c>
      <c r="Y50" s="9" t="s">
        <v>311</v>
      </c>
    </row>
    <row r="51" spans="1:25" s="9" customFormat="1" x14ac:dyDescent="0.25">
      <c r="A51" s="9">
        <v>98</v>
      </c>
      <c r="B51" s="9" t="s">
        <v>312</v>
      </c>
      <c r="C51" s="9" t="s">
        <v>313</v>
      </c>
      <c r="D51" s="9" t="s">
        <v>30</v>
      </c>
      <c r="E51" s="9" t="s">
        <v>314</v>
      </c>
      <c r="F51" s="9" t="s">
        <v>315</v>
      </c>
      <c r="G51" s="9" t="s">
        <v>316</v>
      </c>
      <c r="H51" s="9" t="s">
        <v>106</v>
      </c>
      <c r="I51" s="9" t="s">
        <v>37</v>
      </c>
      <c r="J51" s="9">
        <v>1</v>
      </c>
      <c r="K51" s="9">
        <v>1</v>
      </c>
      <c r="O51" s="9">
        <v>1</v>
      </c>
      <c r="T51" s="9">
        <v>1</v>
      </c>
      <c r="U51" s="9" t="s">
        <v>93</v>
      </c>
      <c r="V51" s="9" t="s">
        <v>93</v>
      </c>
      <c r="W51" s="9" t="s">
        <v>93</v>
      </c>
      <c r="Y51" s="9" t="s">
        <v>317</v>
      </c>
    </row>
    <row r="52" spans="1:25" s="9" customFormat="1" x14ac:dyDescent="0.25">
      <c r="A52" s="9">
        <v>99</v>
      </c>
      <c r="B52" s="9" t="s">
        <v>318</v>
      </c>
      <c r="C52" s="9" t="s">
        <v>319</v>
      </c>
      <c r="D52" s="9" t="s">
        <v>30</v>
      </c>
      <c r="E52" s="9" t="s">
        <v>320</v>
      </c>
      <c r="F52" s="9" t="s">
        <v>320</v>
      </c>
      <c r="G52" s="9">
        <v>2100011532</v>
      </c>
      <c r="H52" s="9" t="s">
        <v>31</v>
      </c>
      <c r="I52" s="9" t="s">
        <v>321</v>
      </c>
      <c r="L52" s="9">
        <v>1</v>
      </c>
      <c r="O52" s="9">
        <v>1</v>
      </c>
      <c r="P52" s="9">
        <v>1</v>
      </c>
      <c r="Q52" s="9">
        <v>1</v>
      </c>
      <c r="U52" s="9">
        <v>1</v>
      </c>
      <c r="V52" s="9">
        <v>1</v>
      </c>
      <c r="W52" s="9">
        <v>1</v>
      </c>
      <c r="Y52" s="9" t="s">
        <v>322</v>
      </c>
    </row>
    <row r="53" spans="1:25" s="9" customFormat="1" ht="13.5" x14ac:dyDescent="0.3">
      <c r="A53" s="9">
        <v>101</v>
      </c>
      <c r="B53" s="9" t="s">
        <v>323</v>
      </c>
      <c r="C53" s="9" t="s">
        <v>324</v>
      </c>
      <c r="D53" s="9" t="s">
        <v>30</v>
      </c>
      <c r="E53" s="9" t="s">
        <v>325</v>
      </c>
      <c r="F53" s="9" t="s">
        <v>325</v>
      </c>
      <c r="G53" s="9">
        <v>2110301239</v>
      </c>
      <c r="H53" s="9" t="s">
        <v>326</v>
      </c>
      <c r="I53" s="9" t="s">
        <v>49</v>
      </c>
      <c r="M53" s="9">
        <v>1</v>
      </c>
      <c r="O53" s="9">
        <v>1</v>
      </c>
      <c r="P53" s="9">
        <v>1</v>
      </c>
      <c r="U53" s="9">
        <v>1</v>
      </c>
      <c r="V53" s="9">
        <v>1</v>
      </c>
      <c r="W53" s="9">
        <v>1</v>
      </c>
      <c r="X53" s="14" t="s">
        <v>415</v>
      </c>
      <c r="Y53" s="15" t="s">
        <v>414</v>
      </c>
    </row>
    <row r="54" spans="1:25" s="9" customFormat="1" x14ac:dyDescent="0.25">
      <c r="A54" s="9">
        <v>102</v>
      </c>
      <c r="B54" s="9" t="s">
        <v>327</v>
      </c>
      <c r="C54" s="9">
        <v>3000</v>
      </c>
      <c r="D54" s="9" t="s">
        <v>30</v>
      </c>
      <c r="E54" s="9" t="s">
        <v>328</v>
      </c>
      <c r="F54" s="9" t="s">
        <v>329</v>
      </c>
      <c r="G54" s="9" t="s">
        <v>330</v>
      </c>
      <c r="H54" s="9" t="s">
        <v>106</v>
      </c>
      <c r="I54" s="9" t="s">
        <v>37</v>
      </c>
      <c r="J54" s="9">
        <v>1</v>
      </c>
      <c r="K54" s="9">
        <v>1</v>
      </c>
      <c r="O54" s="9">
        <v>1</v>
      </c>
      <c r="T54" s="9">
        <v>1</v>
      </c>
      <c r="U54" s="9" t="s">
        <v>93</v>
      </c>
      <c r="V54" s="9" t="s">
        <v>93</v>
      </c>
      <c r="W54" s="9" t="s">
        <v>93</v>
      </c>
      <c r="Y54" s="9" t="s">
        <v>29</v>
      </c>
    </row>
    <row r="55" spans="1:25" s="9" customFormat="1" x14ac:dyDescent="0.25">
      <c r="A55" s="9">
        <v>103</v>
      </c>
      <c r="B55" s="9" t="s">
        <v>331</v>
      </c>
      <c r="C55" s="9" t="s">
        <v>332</v>
      </c>
      <c r="D55" s="9" t="s">
        <v>30</v>
      </c>
      <c r="E55" s="9" t="s">
        <v>333</v>
      </c>
      <c r="F55" s="9" t="s">
        <v>334</v>
      </c>
      <c r="G55" s="9" t="s">
        <v>335</v>
      </c>
      <c r="H55" s="9" t="s">
        <v>20</v>
      </c>
      <c r="I55" s="9" t="s">
        <v>37</v>
      </c>
      <c r="J55" s="9">
        <v>1</v>
      </c>
      <c r="O55" s="9">
        <v>1</v>
      </c>
      <c r="Q55" s="9">
        <v>1</v>
      </c>
      <c r="U55" s="9">
        <v>1</v>
      </c>
      <c r="V55" s="9">
        <v>1</v>
      </c>
      <c r="W55" s="9">
        <v>1</v>
      </c>
      <c r="Y55" s="9" t="s">
        <v>336</v>
      </c>
    </row>
    <row r="56" spans="1:25" s="9" customFormat="1" x14ac:dyDescent="0.25">
      <c r="A56" s="9">
        <v>104</v>
      </c>
      <c r="B56" s="9" t="s">
        <v>337</v>
      </c>
      <c r="C56" s="9" t="s">
        <v>338</v>
      </c>
      <c r="D56" s="9" t="s">
        <v>30</v>
      </c>
      <c r="E56" s="9" t="s">
        <v>339</v>
      </c>
      <c r="F56" s="9" t="s">
        <v>340</v>
      </c>
      <c r="G56" s="9" t="s">
        <v>341</v>
      </c>
      <c r="H56" s="9" t="s">
        <v>342</v>
      </c>
      <c r="I56" s="9" t="s">
        <v>37</v>
      </c>
      <c r="J56" s="9">
        <v>1</v>
      </c>
      <c r="K56" s="9">
        <v>1</v>
      </c>
      <c r="O56" s="9">
        <v>1</v>
      </c>
      <c r="T56" s="9">
        <v>1</v>
      </c>
      <c r="U56" s="9" t="s">
        <v>93</v>
      </c>
      <c r="V56" s="9" t="s">
        <v>93</v>
      </c>
      <c r="W56" s="9" t="s">
        <v>93</v>
      </c>
      <c r="Y56" s="9" t="s">
        <v>343</v>
      </c>
    </row>
    <row r="57" spans="1:25" s="9" customFormat="1" ht="13" x14ac:dyDescent="0.25">
      <c r="A57" s="9">
        <v>107</v>
      </c>
      <c r="B57" s="9" t="s">
        <v>344</v>
      </c>
      <c r="C57" s="9" t="s">
        <v>345</v>
      </c>
      <c r="D57" s="9" t="s">
        <v>16</v>
      </c>
      <c r="E57" s="9" t="s">
        <v>346</v>
      </c>
      <c r="F57" s="9" t="s">
        <v>347</v>
      </c>
      <c r="G57" s="9">
        <v>2001210371</v>
      </c>
      <c r="H57" s="9" t="s">
        <v>348</v>
      </c>
      <c r="I57" s="9" t="s">
        <v>101</v>
      </c>
      <c r="L57" s="9">
        <v>1</v>
      </c>
      <c r="O57" s="9">
        <v>1</v>
      </c>
      <c r="P57" s="9">
        <v>1</v>
      </c>
      <c r="Q57" s="9">
        <v>1</v>
      </c>
      <c r="U57" s="9">
        <v>1</v>
      </c>
      <c r="V57" s="9">
        <v>1</v>
      </c>
      <c r="X57" s="11" t="s">
        <v>408</v>
      </c>
      <c r="Y57" s="9" t="s">
        <v>349</v>
      </c>
    </row>
    <row r="58" spans="1:25" s="9" customFormat="1" x14ac:dyDescent="0.25">
      <c r="A58" s="9">
        <v>109</v>
      </c>
      <c r="B58" s="9" t="s">
        <v>350</v>
      </c>
      <c r="C58" s="9" t="s">
        <v>351</v>
      </c>
      <c r="D58" s="9" t="s">
        <v>30</v>
      </c>
      <c r="E58" s="9" t="s">
        <v>352</v>
      </c>
      <c r="F58" s="9" t="s">
        <v>352</v>
      </c>
      <c r="G58" s="9" t="s">
        <v>353</v>
      </c>
      <c r="H58" s="9" t="s">
        <v>31</v>
      </c>
      <c r="I58" s="9" t="s">
        <v>21</v>
      </c>
      <c r="J58" s="9">
        <v>1</v>
      </c>
      <c r="K58" s="9">
        <v>1</v>
      </c>
      <c r="O58" s="9">
        <v>1</v>
      </c>
      <c r="T58" s="9">
        <v>1</v>
      </c>
      <c r="U58" s="9" t="s">
        <v>93</v>
      </c>
      <c r="V58" s="9" t="s">
        <v>93</v>
      </c>
      <c r="W58" s="9" t="s">
        <v>93</v>
      </c>
      <c r="X58" s="9" t="s">
        <v>420</v>
      </c>
      <c r="Y58" s="9" t="s">
        <v>354</v>
      </c>
    </row>
    <row r="59" spans="1:25" s="9" customFormat="1" x14ac:dyDescent="0.25">
      <c r="A59" s="9">
        <v>110</v>
      </c>
      <c r="B59" s="9" t="s">
        <v>355</v>
      </c>
      <c r="C59" s="9" t="s">
        <v>356</v>
      </c>
      <c r="D59" s="9" t="s">
        <v>30</v>
      </c>
      <c r="E59" s="9" t="s">
        <v>357</v>
      </c>
      <c r="F59" s="9" t="s">
        <v>358</v>
      </c>
      <c r="G59" s="9">
        <v>2000017711</v>
      </c>
      <c r="H59" s="9" t="s">
        <v>291</v>
      </c>
      <c r="I59" s="9" t="s">
        <v>101</v>
      </c>
      <c r="J59" s="9">
        <v>1</v>
      </c>
      <c r="L59" s="9">
        <v>1</v>
      </c>
      <c r="M59" s="9">
        <v>1</v>
      </c>
      <c r="O59" s="9">
        <v>1</v>
      </c>
      <c r="P59" s="9">
        <v>1</v>
      </c>
      <c r="Q59" s="9">
        <v>1</v>
      </c>
      <c r="U59" s="9">
        <v>1</v>
      </c>
      <c r="V59" s="9">
        <v>1</v>
      </c>
      <c r="W59" s="9">
        <v>1</v>
      </c>
      <c r="Y59" s="9" t="s">
        <v>359</v>
      </c>
    </row>
    <row r="60" spans="1:25" s="9" customFormat="1" x14ac:dyDescent="0.25">
      <c r="A60" s="9">
        <v>111</v>
      </c>
      <c r="B60" s="9" t="s">
        <v>360</v>
      </c>
      <c r="C60" s="9" t="s">
        <v>361</v>
      </c>
      <c r="D60" s="9" t="s">
        <v>30</v>
      </c>
      <c r="E60" s="9" t="s">
        <v>362</v>
      </c>
      <c r="F60" s="9" t="s">
        <v>363</v>
      </c>
      <c r="G60" s="9" t="s">
        <v>364</v>
      </c>
      <c r="H60" s="9" t="s">
        <v>106</v>
      </c>
      <c r="I60" s="9" t="s">
        <v>21</v>
      </c>
      <c r="J60" s="9">
        <v>1</v>
      </c>
      <c r="K60" s="9">
        <v>1</v>
      </c>
      <c r="O60" s="9">
        <v>1</v>
      </c>
      <c r="T60" s="9">
        <v>1</v>
      </c>
      <c r="U60" s="9" t="s">
        <v>93</v>
      </c>
      <c r="V60" s="9" t="s">
        <v>93</v>
      </c>
      <c r="W60" s="9" t="s">
        <v>93</v>
      </c>
      <c r="Y60" s="9" t="s">
        <v>365</v>
      </c>
    </row>
    <row r="61" spans="1:25" s="9" customFormat="1" ht="13" x14ac:dyDescent="0.25">
      <c r="A61" s="9">
        <v>112</v>
      </c>
      <c r="B61" s="9" t="s">
        <v>366</v>
      </c>
      <c r="C61" s="9" t="s">
        <v>367</v>
      </c>
      <c r="D61" s="9" t="s">
        <v>30</v>
      </c>
      <c r="E61" s="9" t="s">
        <v>368</v>
      </c>
      <c r="F61" s="9" t="s">
        <v>369</v>
      </c>
      <c r="G61" s="9" t="s">
        <v>370</v>
      </c>
      <c r="H61" s="9" t="s">
        <v>106</v>
      </c>
      <c r="I61" s="9" t="s">
        <v>21</v>
      </c>
      <c r="J61" s="9">
        <v>1</v>
      </c>
      <c r="O61" s="9">
        <v>1</v>
      </c>
      <c r="Q61" s="9">
        <v>1</v>
      </c>
      <c r="U61" s="9">
        <v>1</v>
      </c>
      <c r="V61" s="9">
        <v>1</v>
      </c>
      <c r="W61" s="9">
        <v>1</v>
      </c>
      <c r="X61" s="11" t="s">
        <v>408</v>
      </c>
      <c r="Y61" s="9" t="s">
        <v>371</v>
      </c>
    </row>
    <row r="62" spans="1:25" s="9" customFormat="1" x14ac:dyDescent="0.25">
      <c r="A62" s="9">
        <v>116</v>
      </c>
      <c r="B62" s="9" t="s">
        <v>372</v>
      </c>
      <c r="C62" s="9" t="s">
        <v>373</v>
      </c>
      <c r="D62" s="9" t="s">
        <v>30</v>
      </c>
      <c r="E62" s="9" t="s">
        <v>374</v>
      </c>
      <c r="F62" s="9" t="s">
        <v>374</v>
      </c>
      <c r="G62" s="9" t="s">
        <v>375</v>
      </c>
      <c r="H62" s="9" t="s">
        <v>61</v>
      </c>
      <c r="I62" s="9" t="s">
        <v>21</v>
      </c>
      <c r="J62" s="9">
        <v>1</v>
      </c>
      <c r="K62" s="9">
        <v>1</v>
      </c>
      <c r="O62" s="9">
        <v>1</v>
      </c>
      <c r="T62" s="9">
        <v>1</v>
      </c>
      <c r="U62" s="9" t="s">
        <v>93</v>
      </c>
      <c r="V62" s="9" t="s">
        <v>93</v>
      </c>
      <c r="W62" s="9" t="s">
        <v>93</v>
      </c>
      <c r="Y62" s="9" t="s">
        <v>29</v>
      </c>
    </row>
    <row r="63" spans="1:25" s="9" customFormat="1" x14ac:dyDescent="0.25">
      <c r="A63" s="9">
        <v>117</v>
      </c>
      <c r="B63" s="9" t="s">
        <v>376</v>
      </c>
      <c r="C63" s="9" t="s">
        <v>377</v>
      </c>
      <c r="D63" s="9" t="s">
        <v>16</v>
      </c>
      <c r="E63" s="9" t="s">
        <v>378</v>
      </c>
      <c r="F63" s="9" t="s">
        <v>379</v>
      </c>
      <c r="G63" s="9">
        <v>2000092901</v>
      </c>
      <c r="H63" s="9" t="s">
        <v>77</v>
      </c>
      <c r="I63" s="9" t="s">
        <v>101</v>
      </c>
      <c r="J63" s="9">
        <v>1</v>
      </c>
      <c r="K63" s="9">
        <v>1</v>
      </c>
      <c r="O63" s="9">
        <v>1</v>
      </c>
      <c r="T63" s="9">
        <v>1</v>
      </c>
      <c r="U63" s="9" t="s">
        <v>93</v>
      </c>
      <c r="V63" s="9" t="s">
        <v>93</v>
      </c>
      <c r="W63" s="9" t="s">
        <v>93</v>
      </c>
      <c r="Y63" s="9" t="s">
        <v>29</v>
      </c>
    </row>
    <row r="64" spans="1:25" s="9" customFormat="1" x14ac:dyDescent="0.25">
      <c r="A64" s="9">
        <v>118</v>
      </c>
      <c r="B64" s="9" t="s">
        <v>380</v>
      </c>
      <c r="C64" s="9" t="s">
        <v>381</v>
      </c>
      <c r="D64" s="9" t="s">
        <v>30</v>
      </c>
      <c r="E64" s="9" t="s">
        <v>382</v>
      </c>
      <c r="F64" s="9" t="s">
        <v>383</v>
      </c>
      <c r="G64" s="9" t="s">
        <v>384</v>
      </c>
      <c r="H64" s="9" t="s">
        <v>31</v>
      </c>
      <c r="I64" s="9" t="s">
        <v>21</v>
      </c>
      <c r="J64" s="9">
        <v>1</v>
      </c>
      <c r="K64" s="9">
        <v>1</v>
      </c>
      <c r="O64" s="9">
        <v>1</v>
      </c>
      <c r="T64" s="9">
        <v>1</v>
      </c>
      <c r="U64" s="9" t="s">
        <v>93</v>
      </c>
      <c r="V64" s="9" t="s">
        <v>93</v>
      </c>
      <c r="W64" s="9" t="s">
        <v>93</v>
      </c>
      <c r="Y64" s="9" t="s">
        <v>29</v>
      </c>
    </row>
    <row r="65" spans="1:25" s="9" customFormat="1" ht="13" x14ac:dyDescent="0.25">
      <c r="A65" s="16">
        <v>120</v>
      </c>
      <c r="B65" s="17" t="s">
        <v>385</v>
      </c>
      <c r="C65" s="17" t="s">
        <v>386</v>
      </c>
      <c r="D65" s="17" t="s">
        <v>30</v>
      </c>
      <c r="E65" s="17">
        <v>18376634459</v>
      </c>
      <c r="F65" s="17">
        <v>18376634450</v>
      </c>
      <c r="G65" s="17">
        <v>2200011458</v>
      </c>
      <c r="H65" s="17" t="s">
        <v>31</v>
      </c>
      <c r="I65" s="17" t="s">
        <v>21</v>
      </c>
      <c r="J65" s="16">
        <v>1</v>
      </c>
      <c r="K65" s="18"/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8"/>
      <c r="R65" s="18"/>
      <c r="S65" s="18"/>
      <c r="T65" s="18"/>
      <c r="U65" s="16">
        <v>1</v>
      </c>
      <c r="V65" s="16">
        <v>1</v>
      </c>
      <c r="W65" s="16">
        <v>1</v>
      </c>
      <c r="X65" s="19" t="s">
        <v>408</v>
      </c>
      <c r="Y65" s="17" t="s">
        <v>387</v>
      </c>
    </row>
    <row r="66" spans="1:25" s="9" customFormat="1" x14ac:dyDescent="0.25">
      <c r="A66" s="16">
        <v>61</v>
      </c>
      <c r="B66" s="17" t="s">
        <v>190</v>
      </c>
      <c r="C66" s="17" t="s">
        <v>191</v>
      </c>
      <c r="D66" s="17" t="s">
        <v>30</v>
      </c>
      <c r="E66" s="17" t="s">
        <v>192</v>
      </c>
      <c r="F66" s="17">
        <v>15320499877</v>
      </c>
      <c r="G66" s="17">
        <v>2300012723</v>
      </c>
      <c r="H66" s="17" t="s">
        <v>61</v>
      </c>
      <c r="I66" s="17" t="s">
        <v>37</v>
      </c>
      <c r="J66" s="16">
        <v>1</v>
      </c>
      <c r="K66" s="16">
        <v>1</v>
      </c>
      <c r="L66" s="18"/>
      <c r="M66" s="18"/>
      <c r="N66" s="16">
        <v>1</v>
      </c>
      <c r="O66" s="16">
        <v>1</v>
      </c>
      <c r="P66" s="18"/>
      <c r="Q66" s="18"/>
      <c r="R66" s="18"/>
      <c r="S66" s="18"/>
      <c r="T66" s="16">
        <v>1</v>
      </c>
      <c r="U66" s="18"/>
      <c r="V66" s="18"/>
      <c r="W66" s="18"/>
      <c r="X66" s="18"/>
      <c r="Y66" s="17" t="s">
        <v>193</v>
      </c>
    </row>
    <row r="67" spans="1:25" s="9" customFormat="1" x14ac:dyDescent="0.25">
      <c r="A67" s="9">
        <v>124</v>
      </c>
      <c r="B67" s="9" t="s">
        <v>421</v>
      </c>
      <c r="C67" s="9" t="s">
        <v>422</v>
      </c>
      <c r="D67" s="9" t="s">
        <v>30</v>
      </c>
      <c r="E67" s="9" t="s">
        <v>423</v>
      </c>
      <c r="F67" s="9" t="s">
        <v>423</v>
      </c>
      <c r="G67" s="9" t="s">
        <v>424</v>
      </c>
      <c r="H67" s="9" t="s">
        <v>425</v>
      </c>
      <c r="I67" s="9" t="s">
        <v>37</v>
      </c>
      <c r="J67" s="9">
        <v>1</v>
      </c>
      <c r="K67" s="9">
        <v>1</v>
      </c>
      <c r="O67" s="9">
        <v>1</v>
      </c>
      <c r="T67" s="9">
        <v>1</v>
      </c>
      <c r="U67" s="9" t="s">
        <v>93</v>
      </c>
      <c r="V67" s="9" t="s">
        <v>93</v>
      </c>
      <c r="W67" s="9" t="s">
        <v>93</v>
      </c>
      <c r="X67" s="9" t="s">
        <v>426</v>
      </c>
    </row>
    <row r="68" spans="1:25" s="9" customFormat="1" x14ac:dyDescent="0.25">
      <c r="A68" s="9">
        <v>125</v>
      </c>
      <c r="B68" s="9" t="s">
        <v>435</v>
      </c>
      <c r="C68" s="9" t="s">
        <v>436</v>
      </c>
      <c r="D68" s="9" t="s">
        <v>30</v>
      </c>
      <c r="E68" s="9" t="s">
        <v>437</v>
      </c>
      <c r="F68" s="9" t="s">
        <v>437</v>
      </c>
      <c r="G68" s="9" t="s">
        <v>438</v>
      </c>
      <c r="H68" s="9" t="s">
        <v>31</v>
      </c>
      <c r="I68" s="9" t="s">
        <v>37</v>
      </c>
      <c r="J68" s="9">
        <v>1</v>
      </c>
      <c r="K68" s="9">
        <v>1</v>
      </c>
      <c r="N68" s="9">
        <v>0</v>
      </c>
      <c r="O68" s="9">
        <v>1</v>
      </c>
      <c r="T68" s="9">
        <v>1</v>
      </c>
      <c r="U68" s="9" t="s">
        <v>93</v>
      </c>
      <c r="V68" s="9" t="s">
        <v>93</v>
      </c>
      <c r="W68" s="9" t="s">
        <v>93</v>
      </c>
      <c r="X68" s="9" t="s">
        <v>29</v>
      </c>
    </row>
    <row r="69" spans="1:25" s="9" customFormat="1" x14ac:dyDescent="0.25">
      <c r="A69" s="9">
        <v>121</v>
      </c>
      <c r="B69" s="9" t="s">
        <v>388</v>
      </c>
      <c r="C69" s="9" t="s">
        <v>389</v>
      </c>
      <c r="D69" s="9" t="s">
        <v>30</v>
      </c>
      <c r="E69" s="9" t="s">
        <v>390</v>
      </c>
      <c r="F69" s="9" t="s">
        <v>391</v>
      </c>
      <c r="G69" s="9" t="s">
        <v>392</v>
      </c>
      <c r="H69" s="9" t="s">
        <v>106</v>
      </c>
      <c r="I69" s="9" t="s">
        <v>393</v>
      </c>
      <c r="J69" s="9">
        <v>1</v>
      </c>
      <c r="O69" s="9">
        <v>1</v>
      </c>
      <c r="P69" s="9">
        <v>1</v>
      </c>
      <c r="Q69" s="9">
        <v>1</v>
      </c>
      <c r="U69" s="9">
        <v>1</v>
      </c>
      <c r="V69" s="9">
        <v>1</v>
      </c>
      <c r="W69" s="9">
        <v>1</v>
      </c>
      <c r="Y69" s="9" t="s">
        <v>394</v>
      </c>
    </row>
    <row r="70" spans="1:25" x14ac:dyDescent="0.25">
      <c r="A70">
        <f>COUNTA(A2:A69)</f>
        <v>68</v>
      </c>
      <c r="D70">
        <f>COUNTIF(D2:D69,"男")</f>
        <v>46</v>
      </c>
      <c r="E70">
        <f>COUNTIF(E2:E69,"男")</f>
        <v>0</v>
      </c>
      <c r="F70">
        <f>COUNTIF(F2:F69,"男")</f>
        <v>0</v>
      </c>
      <c r="G70">
        <f>COUNTIF(G2:G69,"男")</f>
        <v>0</v>
      </c>
      <c r="H70">
        <f>COUNTIF(H2:H69,"男")</f>
        <v>0</v>
      </c>
      <c r="I70">
        <f>COUNTIF(I2:I69,"男")</f>
        <v>0</v>
      </c>
      <c r="J70">
        <f>SUM(J2:J69)</f>
        <v>57</v>
      </c>
      <c r="K70">
        <f>SUM(K2:K69)</f>
        <v>25</v>
      </c>
      <c r="L70">
        <f>SUM(L2:L69)</f>
        <v>20</v>
      </c>
      <c r="M70">
        <f>SUM(M2:M69)</f>
        <v>16</v>
      </c>
      <c r="N70">
        <f>SUM(N2:N69)</f>
        <v>7</v>
      </c>
      <c r="O70">
        <f>SUM(O2:O69)</f>
        <v>68</v>
      </c>
      <c r="P70">
        <f>SUM(P2:P69)</f>
        <v>33</v>
      </c>
      <c r="Q70">
        <f>SUM(Q2:Q69)</f>
        <v>30</v>
      </c>
      <c r="R70">
        <f>SUM(R2:R69)</f>
        <v>4</v>
      </c>
      <c r="S70">
        <f>SUM(S2:S69)</f>
        <v>3</v>
      </c>
      <c r="T70">
        <f>SUM(T2:T69)</f>
        <v>25</v>
      </c>
      <c r="U70">
        <f>SUM(U2:U69)</f>
        <v>39</v>
      </c>
      <c r="V70">
        <f>SUM(V2:V69)</f>
        <v>43</v>
      </c>
      <c r="W70">
        <f>SUM(W2:W69)</f>
        <v>34</v>
      </c>
    </row>
  </sheetData>
  <autoFilter ref="A1:Y69" xr:uid="{00000000-0001-0000-0000-000000000000}">
    <sortState xmlns:xlrd2="http://schemas.microsoft.com/office/spreadsheetml/2017/richdata2" ref="A2:Y69">
      <sortCondition descending="1" ref="N1:N69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B519-1702-4587-AD16-396B12B353FE}">
  <dimension ref="A1:Y91"/>
  <sheetViews>
    <sheetView tabSelected="1" workbookViewId="0">
      <pane ySplit="1" topLeftCell="A51" activePane="bottomLeft" state="frozen"/>
      <selection pane="bottomLeft" activeCell="Z64" sqref="Z64"/>
    </sheetView>
  </sheetViews>
  <sheetFormatPr defaultRowHeight="12.5" x14ac:dyDescent="0.25"/>
  <cols>
    <col min="2" max="2" width="0" hidden="1" customWidth="1"/>
    <col min="5" max="10" width="8.7265625" customWidth="1"/>
    <col min="11" max="11" width="5.26953125" customWidth="1"/>
    <col min="12" max="12" width="4.453125" customWidth="1"/>
    <col min="13" max="13" width="4.26953125" customWidth="1"/>
    <col min="14" max="15" width="0" hidden="1" customWidth="1"/>
    <col min="16" max="16" width="5.08984375" customWidth="1"/>
    <col min="17" max="17" width="4" customWidth="1"/>
    <col min="18" max="18" width="5.90625" customWidth="1"/>
    <col min="19" max="19" width="5.6328125" customWidth="1"/>
    <col min="20" max="20" width="0" hidden="1" customWidth="1"/>
    <col min="21" max="24" width="3.81640625" customWidth="1"/>
  </cols>
  <sheetData>
    <row r="1" spans="1:25" ht="13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418</v>
      </c>
      <c r="L1" s="1" t="s">
        <v>416</v>
      </c>
      <c r="M1" s="1" t="s">
        <v>417</v>
      </c>
      <c r="N1" t="s">
        <v>10</v>
      </c>
      <c r="O1" t="s">
        <v>433</v>
      </c>
      <c r="P1" s="1" t="s">
        <v>401</v>
      </c>
      <c r="Q1" s="1" t="s">
        <v>402</v>
      </c>
      <c r="R1" s="1" t="s">
        <v>403</v>
      </c>
      <c r="S1" s="1" t="s">
        <v>404</v>
      </c>
      <c r="T1" t="s">
        <v>12</v>
      </c>
      <c r="U1" s="1" t="s">
        <v>405</v>
      </c>
      <c r="V1" s="1" t="s">
        <v>406</v>
      </c>
      <c r="W1" s="1" t="s">
        <v>407</v>
      </c>
      <c r="X1" s="1"/>
      <c r="Y1" t="s">
        <v>13</v>
      </c>
    </row>
    <row r="2" spans="1:25" ht="13" x14ac:dyDescent="0.25">
      <c r="A2" t="s">
        <v>427</v>
      </c>
      <c r="C2" s="1" t="s">
        <v>411</v>
      </c>
    </row>
    <row r="3" spans="1:25" x14ac:dyDescent="0.25">
      <c r="A3">
        <v>7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1</v>
      </c>
      <c r="O3">
        <v>1</v>
      </c>
      <c r="P3">
        <v>1</v>
      </c>
      <c r="Q3">
        <v>1</v>
      </c>
      <c r="U3">
        <v>1</v>
      </c>
      <c r="V3">
        <v>1</v>
      </c>
      <c r="W3">
        <v>1</v>
      </c>
      <c r="Y3" t="s">
        <v>29</v>
      </c>
    </row>
    <row r="4" spans="1:25" ht="13" x14ac:dyDescent="0.25">
      <c r="A4">
        <v>88</v>
      </c>
      <c r="B4" t="s">
        <v>286</v>
      </c>
      <c r="C4" t="s">
        <v>287</v>
      </c>
      <c r="D4" t="s">
        <v>30</v>
      </c>
      <c r="E4" t="s">
        <v>288</v>
      </c>
      <c r="F4" t="s">
        <v>289</v>
      </c>
      <c r="G4" t="s">
        <v>290</v>
      </c>
      <c r="H4" t="s">
        <v>291</v>
      </c>
      <c r="I4" t="s">
        <v>37</v>
      </c>
      <c r="J4">
        <v>1</v>
      </c>
      <c r="O4">
        <v>1</v>
      </c>
      <c r="P4">
        <v>1</v>
      </c>
      <c r="Q4">
        <v>1</v>
      </c>
      <c r="U4">
        <v>1</v>
      </c>
      <c r="V4">
        <v>1</v>
      </c>
      <c r="X4" s="1" t="s">
        <v>412</v>
      </c>
      <c r="Y4" t="s">
        <v>292</v>
      </c>
    </row>
    <row r="5" spans="1:25" ht="13" x14ac:dyDescent="0.25">
      <c r="A5">
        <v>37</v>
      </c>
      <c r="B5" t="s">
        <v>102</v>
      </c>
      <c r="C5" t="s">
        <v>103</v>
      </c>
      <c r="D5" t="s">
        <v>30</v>
      </c>
      <c r="E5" t="s">
        <v>104</v>
      </c>
      <c r="F5" t="s">
        <v>104</v>
      </c>
      <c r="G5" t="s">
        <v>105</v>
      </c>
      <c r="H5" t="s">
        <v>106</v>
      </c>
      <c r="I5" t="s">
        <v>21</v>
      </c>
      <c r="L5">
        <v>1</v>
      </c>
      <c r="M5">
        <v>1</v>
      </c>
      <c r="O5">
        <v>1</v>
      </c>
      <c r="P5">
        <v>1</v>
      </c>
      <c r="Q5">
        <v>1</v>
      </c>
      <c r="U5">
        <v>1</v>
      </c>
      <c r="V5">
        <v>1</v>
      </c>
      <c r="W5">
        <v>1</v>
      </c>
      <c r="X5" s="1" t="s">
        <v>409</v>
      </c>
      <c r="Y5" t="s">
        <v>107</v>
      </c>
    </row>
    <row r="6" spans="1:25" ht="13" x14ac:dyDescent="0.25">
      <c r="A6">
        <v>107</v>
      </c>
      <c r="B6" t="s">
        <v>344</v>
      </c>
      <c r="C6" t="s">
        <v>345</v>
      </c>
      <c r="D6" t="s">
        <v>16</v>
      </c>
      <c r="E6" t="s">
        <v>346</v>
      </c>
      <c r="F6" t="s">
        <v>347</v>
      </c>
      <c r="G6">
        <v>2001210371</v>
      </c>
      <c r="H6" t="s">
        <v>348</v>
      </c>
      <c r="I6" t="s">
        <v>101</v>
      </c>
      <c r="L6">
        <v>1</v>
      </c>
      <c r="O6">
        <v>1</v>
      </c>
      <c r="P6">
        <v>1</v>
      </c>
      <c r="Q6">
        <v>1</v>
      </c>
      <c r="U6">
        <v>1</v>
      </c>
      <c r="V6">
        <v>1</v>
      </c>
      <c r="X6" s="1" t="s">
        <v>408</v>
      </c>
      <c r="Y6" t="s">
        <v>349</v>
      </c>
    </row>
    <row r="7" spans="1:25" x14ac:dyDescent="0.25">
      <c r="A7">
        <v>22</v>
      </c>
      <c r="B7" t="s">
        <v>58</v>
      </c>
      <c r="C7" t="s">
        <v>59</v>
      </c>
      <c r="D7" t="s">
        <v>30</v>
      </c>
      <c r="E7" t="s">
        <v>60</v>
      </c>
      <c r="F7" t="s">
        <v>60</v>
      </c>
      <c r="G7">
        <v>2100012754</v>
      </c>
      <c r="H7" t="s">
        <v>61</v>
      </c>
      <c r="I7" t="s">
        <v>49</v>
      </c>
      <c r="L7">
        <v>1</v>
      </c>
      <c r="M7">
        <v>1</v>
      </c>
      <c r="O7">
        <v>1</v>
      </c>
      <c r="Q7">
        <v>1</v>
      </c>
      <c r="U7">
        <v>1</v>
      </c>
      <c r="V7">
        <v>1</v>
      </c>
      <c r="Y7" t="s">
        <v>29</v>
      </c>
    </row>
    <row r="8" spans="1:25" ht="13" x14ac:dyDescent="0.25">
      <c r="A8">
        <v>38</v>
      </c>
      <c r="B8" t="s">
        <v>108</v>
      </c>
      <c r="C8" t="s">
        <v>109</v>
      </c>
      <c r="D8" t="s">
        <v>30</v>
      </c>
      <c r="E8" t="s">
        <v>110</v>
      </c>
      <c r="F8" t="s">
        <v>110</v>
      </c>
      <c r="G8" t="s">
        <v>111</v>
      </c>
      <c r="H8" t="s">
        <v>112</v>
      </c>
      <c r="I8" t="s">
        <v>21</v>
      </c>
      <c r="J8">
        <v>1</v>
      </c>
      <c r="L8">
        <v>1</v>
      </c>
      <c r="M8">
        <v>1</v>
      </c>
      <c r="O8">
        <v>1</v>
      </c>
      <c r="P8">
        <v>1</v>
      </c>
      <c r="U8">
        <v>1</v>
      </c>
      <c r="V8">
        <v>1</v>
      </c>
      <c r="W8">
        <v>1</v>
      </c>
      <c r="X8" s="1" t="s">
        <v>409</v>
      </c>
      <c r="Y8" t="s">
        <v>113</v>
      </c>
    </row>
    <row r="9" spans="1:25" ht="13" x14ac:dyDescent="0.25">
      <c r="A9">
        <v>112</v>
      </c>
      <c r="B9" t="s">
        <v>366</v>
      </c>
      <c r="C9" t="s">
        <v>367</v>
      </c>
      <c r="D9" t="s">
        <v>30</v>
      </c>
      <c r="E9" t="s">
        <v>368</v>
      </c>
      <c r="F9" t="s">
        <v>369</v>
      </c>
      <c r="G9" t="s">
        <v>370</v>
      </c>
      <c r="H9" t="s">
        <v>106</v>
      </c>
      <c r="I9" t="s">
        <v>21</v>
      </c>
      <c r="J9">
        <v>1</v>
      </c>
      <c r="O9">
        <v>1</v>
      </c>
      <c r="Q9">
        <v>1</v>
      </c>
      <c r="U9">
        <v>1</v>
      </c>
      <c r="V9">
        <v>1</v>
      </c>
      <c r="W9">
        <v>1</v>
      </c>
      <c r="X9" s="1" t="s">
        <v>408</v>
      </c>
      <c r="Y9" t="s">
        <v>371</v>
      </c>
    </row>
    <row r="10" spans="1:25" x14ac:dyDescent="0.25">
      <c r="A10">
        <v>54</v>
      </c>
      <c r="B10" t="s">
        <v>169</v>
      </c>
      <c r="C10" t="s">
        <v>170</v>
      </c>
      <c r="D10" t="s">
        <v>16</v>
      </c>
      <c r="E10" t="s">
        <v>171</v>
      </c>
      <c r="F10" t="s">
        <v>172</v>
      </c>
      <c r="G10" t="s">
        <v>173</v>
      </c>
      <c r="H10" t="s">
        <v>20</v>
      </c>
      <c r="I10" t="s">
        <v>37</v>
      </c>
      <c r="J10">
        <v>1</v>
      </c>
      <c r="K10">
        <v>1</v>
      </c>
      <c r="N10">
        <v>1</v>
      </c>
      <c r="O10">
        <v>1</v>
      </c>
      <c r="T10">
        <v>1</v>
      </c>
      <c r="U10" t="s">
        <v>93</v>
      </c>
      <c r="V10" t="s">
        <v>93</v>
      </c>
      <c r="W10" t="s">
        <v>93</v>
      </c>
      <c r="Y10" t="s">
        <v>174</v>
      </c>
    </row>
    <row r="11" spans="1:25" x14ac:dyDescent="0.25">
      <c r="A11">
        <v>26</v>
      </c>
      <c r="B11" t="s">
        <v>72</v>
      </c>
      <c r="C11" t="s">
        <v>73</v>
      </c>
      <c r="D11" t="s">
        <v>16</v>
      </c>
      <c r="E11" t="s">
        <v>74</v>
      </c>
      <c r="F11" t="s">
        <v>74</v>
      </c>
      <c r="G11" t="s">
        <v>75</v>
      </c>
      <c r="H11" t="s">
        <v>44</v>
      </c>
      <c r="I11" t="s">
        <v>21</v>
      </c>
      <c r="J11">
        <v>1</v>
      </c>
      <c r="K11">
        <v>1</v>
      </c>
      <c r="O11">
        <v>1</v>
      </c>
      <c r="T11">
        <v>1</v>
      </c>
      <c r="V11">
        <v>1</v>
      </c>
      <c r="Y11" t="s">
        <v>76</v>
      </c>
    </row>
    <row r="12" spans="1:25" x14ac:dyDescent="0.25">
      <c r="A12">
        <v>97</v>
      </c>
      <c r="B12" t="s">
        <v>305</v>
      </c>
      <c r="C12" t="s">
        <v>306</v>
      </c>
      <c r="D12" t="s">
        <v>30</v>
      </c>
      <c r="E12" t="s">
        <v>307</v>
      </c>
      <c r="F12" t="s">
        <v>308</v>
      </c>
      <c r="G12" t="s">
        <v>309</v>
      </c>
      <c r="H12" t="s">
        <v>310</v>
      </c>
      <c r="I12" t="s">
        <v>37</v>
      </c>
      <c r="J12">
        <v>1</v>
      </c>
      <c r="K12">
        <v>1</v>
      </c>
      <c r="O12">
        <v>1</v>
      </c>
      <c r="T12">
        <v>1</v>
      </c>
      <c r="U12" t="s">
        <v>93</v>
      </c>
      <c r="V12" t="s">
        <v>93</v>
      </c>
      <c r="W12" t="s">
        <v>93</v>
      </c>
      <c r="Y12" t="s">
        <v>311</v>
      </c>
    </row>
    <row r="13" spans="1:25" x14ac:dyDescent="0.25">
      <c r="A13">
        <v>71</v>
      </c>
      <c r="B13" t="s">
        <v>226</v>
      </c>
      <c r="C13" t="s">
        <v>227</v>
      </c>
      <c r="D13" t="s">
        <v>30</v>
      </c>
      <c r="E13" t="s">
        <v>228</v>
      </c>
      <c r="F13" t="s">
        <v>229</v>
      </c>
      <c r="G13" t="s">
        <v>230</v>
      </c>
      <c r="H13" t="s">
        <v>106</v>
      </c>
      <c r="I13" t="s">
        <v>21</v>
      </c>
      <c r="J13">
        <v>1</v>
      </c>
      <c r="O13">
        <v>1</v>
      </c>
      <c r="T13">
        <v>1</v>
      </c>
      <c r="U13">
        <v>1</v>
      </c>
      <c r="V13">
        <v>1</v>
      </c>
      <c r="Y13" t="s">
        <v>231</v>
      </c>
    </row>
    <row r="14" spans="1:25" x14ac:dyDescent="0.25">
      <c r="A14">
        <v>98</v>
      </c>
      <c r="B14" t="s">
        <v>312</v>
      </c>
      <c r="C14" t="s">
        <v>313</v>
      </c>
      <c r="D14" t="s">
        <v>30</v>
      </c>
      <c r="E14" t="s">
        <v>314</v>
      </c>
      <c r="F14" t="s">
        <v>315</v>
      </c>
      <c r="G14" t="s">
        <v>316</v>
      </c>
      <c r="H14" t="s">
        <v>106</v>
      </c>
      <c r="I14" t="s">
        <v>37</v>
      </c>
      <c r="J14">
        <v>1</v>
      </c>
      <c r="K14">
        <v>1</v>
      </c>
      <c r="O14">
        <v>1</v>
      </c>
      <c r="T14">
        <v>1</v>
      </c>
      <c r="U14" t="s">
        <v>93</v>
      </c>
      <c r="V14" t="s">
        <v>93</v>
      </c>
      <c r="W14" t="s">
        <v>93</v>
      </c>
      <c r="Y14" t="s">
        <v>317</v>
      </c>
    </row>
    <row r="15" spans="1:25" x14ac:dyDescent="0.25">
      <c r="A15">
        <v>116</v>
      </c>
      <c r="B15" t="s">
        <v>372</v>
      </c>
      <c r="C15" t="s">
        <v>373</v>
      </c>
      <c r="D15" t="s">
        <v>30</v>
      </c>
      <c r="E15" t="s">
        <v>374</v>
      </c>
      <c r="F15" t="s">
        <v>374</v>
      </c>
      <c r="G15" t="s">
        <v>375</v>
      </c>
      <c r="H15" t="s">
        <v>61</v>
      </c>
      <c r="I15" t="s">
        <v>21</v>
      </c>
      <c r="J15">
        <v>1</v>
      </c>
      <c r="K15">
        <v>1</v>
      </c>
      <c r="O15">
        <v>1</v>
      </c>
      <c r="T15">
        <v>1</v>
      </c>
      <c r="U15" t="s">
        <v>93</v>
      </c>
      <c r="V15" t="s">
        <v>93</v>
      </c>
      <c r="W15" t="s">
        <v>93</v>
      </c>
      <c r="Y15" t="s">
        <v>29</v>
      </c>
    </row>
    <row r="16" spans="1:25" x14ac:dyDescent="0.25">
      <c r="A16">
        <f>COUNTA(A3:A15)</f>
        <v>13</v>
      </c>
      <c r="D16">
        <f>COUNTIF(D3:D15,"男")</f>
        <v>9</v>
      </c>
      <c r="K16">
        <f>SUM(K3:K15)</f>
        <v>5</v>
      </c>
      <c r="L16">
        <f t="shared" ref="L16:W16" si="0">SUM(L3:L15)</f>
        <v>4</v>
      </c>
      <c r="M16">
        <f t="shared" si="0"/>
        <v>3</v>
      </c>
      <c r="N16">
        <f t="shared" si="0"/>
        <v>1</v>
      </c>
      <c r="O16">
        <f t="shared" si="0"/>
        <v>13</v>
      </c>
      <c r="P16">
        <f t="shared" si="0"/>
        <v>5</v>
      </c>
      <c r="Q16">
        <f t="shared" si="0"/>
        <v>6</v>
      </c>
      <c r="R16">
        <f t="shared" si="0"/>
        <v>0</v>
      </c>
      <c r="S16">
        <f t="shared" si="0"/>
        <v>0</v>
      </c>
      <c r="T16">
        <f t="shared" si="0"/>
        <v>6</v>
      </c>
      <c r="U16">
        <f t="shared" si="0"/>
        <v>8</v>
      </c>
      <c r="V16">
        <f t="shared" si="0"/>
        <v>9</v>
      </c>
      <c r="W16">
        <f t="shared" si="0"/>
        <v>4</v>
      </c>
    </row>
    <row r="20" spans="1:25" ht="13" x14ac:dyDescent="0.25">
      <c r="A20" t="s">
        <v>428</v>
      </c>
      <c r="C20" s="1" t="s">
        <v>412</v>
      </c>
    </row>
    <row r="21" spans="1:25" x14ac:dyDescent="0.25">
      <c r="A21">
        <v>32</v>
      </c>
      <c r="B21" t="s">
        <v>83</v>
      </c>
      <c r="C21" t="s">
        <v>84</v>
      </c>
      <c r="D21" t="s">
        <v>30</v>
      </c>
      <c r="E21" t="s">
        <v>85</v>
      </c>
      <c r="F21" t="s">
        <v>85</v>
      </c>
      <c r="G21">
        <v>2001110085</v>
      </c>
      <c r="H21" t="s">
        <v>31</v>
      </c>
      <c r="I21" t="s">
        <v>86</v>
      </c>
      <c r="J21">
        <v>1</v>
      </c>
      <c r="O21">
        <v>1</v>
      </c>
      <c r="P21">
        <v>1</v>
      </c>
      <c r="R21">
        <v>1</v>
      </c>
      <c r="U21">
        <v>1</v>
      </c>
      <c r="V21">
        <v>1</v>
      </c>
      <c r="W21">
        <v>1</v>
      </c>
      <c r="Y21" t="s">
        <v>29</v>
      </c>
    </row>
    <row r="22" spans="1:25" ht="13" x14ac:dyDescent="0.25">
      <c r="A22">
        <v>81</v>
      </c>
      <c r="B22" t="s">
        <v>264</v>
      </c>
      <c r="C22" t="s">
        <v>265</v>
      </c>
      <c r="D22" t="s">
        <v>16</v>
      </c>
      <c r="E22" t="s">
        <v>266</v>
      </c>
      <c r="F22" t="s">
        <v>267</v>
      </c>
      <c r="G22">
        <v>2000016207</v>
      </c>
      <c r="H22" t="s">
        <v>77</v>
      </c>
      <c r="I22" t="s">
        <v>101</v>
      </c>
      <c r="J22">
        <v>1</v>
      </c>
      <c r="L22">
        <v>1</v>
      </c>
      <c r="M22">
        <v>1</v>
      </c>
      <c r="O22">
        <v>1</v>
      </c>
      <c r="P22">
        <v>1</v>
      </c>
      <c r="Q22">
        <v>1</v>
      </c>
      <c r="U22">
        <v>1</v>
      </c>
      <c r="V22">
        <v>1</v>
      </c>
      <c r="W22">
        <v>1</v>
      </c>
      <c r="X22" s="1" t="s">
        <v>408</v>
      </c>
      <c r="Y22" t="s">
        <v>268</v>
      </c>
    </row>
    <row r="23" spans="1:25" ht="13" x14ac:dyDescent="0.25">
      <c r="A23">
        <v>17</v>
      </c>
      <c r="B23" t="s">
        <v>45</v>
      </c>
      <c r="C23" t="s">
        <v>46</v>
      </c>
      <c r="D23" t="s">
        <v>30</v>
      </c>
      <c r="E23" t="s">
        <v>47</v>
      </c>
      <c r="F23" t="s">
        <v>48</v>
      </c>
      <c r="G23">
        <v>2000011308</v>
      </c>
      <c r="H23" t="s">
        <v>31</v>
      </c>
      <c r="I23" t="s">
        <v>49</v>
      </c>
      <c r="J23">
        <v>1</v>
      </c>
      <c r="L23">
        <v>1</v>
      </c>
      <c r="M23">
        <v>1</v>
      </c>
      <c r="O23">
        <v>1</v>
      </c>
      <c r="Q23">
        <v>1</v>
      </c>
      <c r="U23">
        <v>1</v>
      </c>
      <c r="V23">
        <v>1</v>
      </c>
      <c r="W23">
        <v>1</v>
      </c>
      <c r="X23" s="1" t="s">
        <v>419</v>
      </c>
      <c r="Y23" t="s">
        <v>50</v>
      </c>
    </row>
    <row r="24" spans="1:25" x14ac:dyDescent="0.25">
      <c r="A24">
        <v>121</v>
      </c>
      <c r="B24" t="s">
        <v>388</v>
      </c>
      <c r="C24" t="s">
        <v>389</v>
      </c>
      <c r="D24" t="s">
        <v>30</v>
      </c>
      <c r="E24" t="s">
        <v>390</v>
      </c>
      <c r="F24" t="s">
        <v>391</v>
      </c>
      <c r="G24" t="s">
        <v>392</v>
      </c>
      <c r="H24" t="s">
        <v>106</v>
      </c>
      <c r="I24" t="s">
        <v>393</v>
      </c>
      <c r="J24">
        <v>1</v>
      </c>
      <c r="O24">
        <v>1</v>
      </c>
      <c r="P24">
        <v>1</v>
      </c>
      <c r="Q24">
        <v>1</v>
      </c>
      <c r="U24">
        <v>1</v>
      </c>
      <c r="V24">
        <v>1</v>
      </c>
      <c r="W24">
        <v>1</v>
      </c>
      <c r="Y24" t="s">
        <v>394</v>
      </c>
    </row>
    <row r="25" spans="1:25" ht="13" x14ac:dyDescent="0.25">
      <c r="A25">
        <v>12</v>
      </c>
      <c r="B25" t="s">
        <v>38</v>
      </c>
      <c r="C25" t="s">
        <v>39</v>
      </c>
      <c r="D25" t="s">
        <v>16</v>
      </c>
      <c r="E25" t="s">
        <v>40</v>
      </c>
      <c r="F25" t="s">
        <v>40</v>
      </c>
      <c r="G25" t="s">
        <v>41</v>
      </c>
      <c r="H25" t="s">
        <v>42</v>
      </c>
      <c r="I25" t="s">
        <v>21</v>
      </c>
      <c r="J25">
        <v>1</v>
      </c>
      <c r="L25">
        <v>1</v>
      </c>
      <c r="M25">
        <v>1</v>
      </c>
      <c r="O25">
        <v>1</v>
      </c>
      <c r="P25">
        <v>1</v>
      </c>
      <c r="Q25">
        <v>1</v>
      </c>
      <c r="U25">
        <v>1</v>
      </c>
      <c r="V25">
        <v>1</v>
      </c>
      <c r="W25">
        <v>1</v>
      </c>
      <c r="X25" s="1" t="s">
        <v>408</v>
      </c>
      <c r="Y25" t="s">
        <v>43</v>
      </c>
    </row>
    <row r="26" spans="1:25" ht="13" x14ac:dyDescent="0.25">
      <c r="A26" s="5">
        <v>120</v>
      </c>
      <c r="B26" s="6" t="s">
        <v>385</v>
      </c>
      <c r="C26" s="6" t="s">
        <v>386</v>
      </c>
      <c r="D26" s="6" t="s">
        <v>30</v>
      </c>
      <c r="E26" s="6">
        <v>18376634459</v>
      </c>
      <c r="F26" s="6">
        <v>18376634450</v>
      </c>
      <c r="G26" s="6">
        <v>2200011458</v>
      </c>
      <c r="H26" s="6" t="s">
        <v>31</v>
      </c>
      <c r="I26" s="6" t="s">
        <v>21</v>
      </c>
      <c r="J26" s="5">
        <v>1</v>
      </c>
      <c r="K26" s="7"/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7"/>
      <c r="R26" s="7"/>
      <c r="S26" s="7"/>
      <c r="T26" s="7"/>
      <c r="U26" s="5">
        <v>1</v>
      </c>
      <c r="V26" s="5">
        <v>1</v>
      </c>
      <c r="W26" s="5">
        <v>1</v>
      </c>
      <c r="X26" s="8" t="s">
        <v>408</v>
      </c>
      <c r="Y26" s="6" t="s">
        <v>387</v>
      </c>
    </row>
    <row r="27" spans="1:25" ht="13" x14ac:dyDescent="0.25">
      <c r="A27">
        <v>84</v>
      </c>
      <c r="B27" t="s">
        <v>275</v>
      </c>
      <c r="C27" t="s">
        <v>276</v>
      </c>
      <c r="D27" t="s">
        <v>16</v>
      </c>
      <c r="E27" t="s">
        <v>277</v>
      </c>
      <c r="F27" t="s">
        <v>278</v>
      </c>
      <c r="G27" t="s">
        <v>279</v>
      </c>
      <c r="H27" t="s">
        <v>153</v>
      </c>
      <c r="I27" t="s">
        <v>21</v>
      </c>
      <c r="L27">
        <v>1</v>
      </c>
      <c r="O27">
        <v>1</v>
      </c>
      <c r="P27">
        <v>1</v>
      </c>
      <c r="Q27">
        <v>1</v>
      </c>
      <c r="U27">
        <v>1</v>
      </c>
      <c r="X27" s="1" t="s">
        <v>411</v>
      </c>
      <c r="Y27" t="s">
        <v>141</v>
      </c>
    </row>
    <row r="28" spans="1:25" x14ac:dyDescent="0.25">
      <c r="A28">
        <v>33</v>
      </c>
      <c r="B28" t="s">
        <v>87</v>
      </c>
      <c r="C28" t="s">
        <v>88</v>
      </c>
      <c r="D28" t="s">
        <v>16</v>
      </c>
      <c r="E28" t="s">
        <v>89</v>
      </c>
      <c r="F28" t="s">
        <v>90</v>
      </c>
      <c r="G28" t="s">
        <v>91</v>
      </c>
      <c r="H28" t="s">
        <v>92</v>
      </c>
      <c r="I28" t="s">
        <v>37</v>
      </c>
      <c r="J28">
        <v>1</v>
      </c>
      <c r="K28">
        <v>1</v>
      </c>
      <c r="O28">
        <v>1</v>
      </c>
      <c r="P28" s="9">
        <v>1</v>
      </c>
      <c r="S28">
        <v>1</v>
      </c>
      <c r="U28" t="s">
        <v>93</v>
      </c>
      <c r="V28" t="s">
        <v>93</v>
      </c>
      <c r="W28" t="s">
        <v>93</v>
      </c>
      <c r="Y28" t="s">
        <v>94</v>
      </c>
    </row>
    <row r="29" spans="1:25" x14ac:dyDescent="0.25">
      <c r="A29">
        <v>117</v>
      </c>
      <c r="B29" t="s">
        <v>376</v>
      </c>
      <c r="C29" t="s">
        <v>377</v>
      </c>
      <c r="D29" t="s">
        <v>16</v>
      </c>
      <c r="E29" t="s">
        <v>378</v>
      </c>
      <c r="F29" t="s">
        <v>379</v>
      </c>
      <c r="G29">
        <v>2000092901</v>
      </c>
      <c r="H29" t="s">
        <v>77</v>
      </c>
      <c r="I29" t="s">
        <v>101</v>
      </c>
      <c r="J29">
        <v>1</v>
      </c>
      <c r="K29">
        <v>1</v>
      </c>
      <c r="O29">
        <v>1</v>
      </c>
      <c r="T29">
        <v>1</v>
      </c>
      <c r="U29" t="s">
        <v>93</v>
      </c>
      <c r="V29" t="s">
        <v>93</v>
      </c>
      <c r="W29" t="s">
        <v>93</v>
      </c>
      <c r="Y29" t="s">
        <v>29</v>
      </c>
    </row>
    <row r="30" spans="1:25" x14ac:dyDescent="0.25">
      <c r="A30">
        <v>59</v>
      </c>
      <c r="B30" t="s">
        <v>182</v>
      </c>
      <c r="C30" t="s">
        <v>183</v>
      </c>
      <c r="D30" t="s">
        <v>30</v>
      </c>
      <c r="E30" t="s">
        <v>184</v>
      </c>
      <c r="F30" t="s">
        <v>185</v>
      </c>
      <c r="G30" t="s">
        <v>186</v>
      </c>
      <c r="H30" t="s">
        <v>187</v>
      </c>
      <c r="I30" t="s">
        <v>188</v>
      </c>
      <c r="J30">
        <v>1</v>
      </c>
      <c r="K30">
        <v>1</v>
      </c>
      <c r="O30">
        <v>1</v>
      </c>
      <c r="T30">
        <v>1</v>
      </c>
      <c r="U30" t="s">
        <v>93</v>
      </c>
      <c r="V30" t="s">
        <v>93</v>
      </c>
      <c r="W30" t="s">
        <v>93</v>
      </c>
      <c r="Y30" t="s">
        <v>189</v>
      </c>
    </row>
    <row r="31" spans="1:25" x14ac:dyDescent="0.25">
      <c r="A31">
        <v>103</v>
      </c>
      <c r="B31" t="s">
        <v>331</v>
      </c>
      <c r="C31" t="s">
        <v>332</v>
      </c>
      <c r="D31" t="s">
        <v>30</v>
      </c>
      <c r="E31" t="s">
        <v>333</v>
      </c>
      <c r="F31" t="s">
        <v>334</v>
      </c>
      <c r="G31" t="s">
        <v>335</v>
      </c>
      <c r="H31" t="s">
        <v>20</v>
      </c>
      <c r="I31" t="s">
        <v>37</v>
      </c>
      <c r="J31">
        <v>1</v>
      </c>
      <c r="O31">
        <v>1</v>
      </c>
      <c r="Q31">
        <v>1</v>
      </c>
      <c r="U31">
        <v>1</v>
      </c>
      <c r="V31">
        <v>1</v>
      </c>
      <c r="W31">
        <v>1</v>
      </c>
      <c r="Y31" t="s">
        <v>336</v>
      </c>
    </row>
    <row r="32" spans="1:25" x14ac:dyDescent="0.25">
      <c r="A32">
        <v>87</v>
      </c>
      <c r="B32" t="s">
        <v>280</v>
      </c>
      <c r="C32" t="s">
        <v>281</v>
      </c>
      <c r="D32" t="s">
        <v>30</v>
      </c>
      <c r="E32" t="s">
        <v>282</v>
      </c>
      <c r="F32" t="s">
        <v>283</v>
      </c>
      <c r="G32" t="s">
        <v>284</v>
      </c>
      <c r="H32" t="s">
        <v>180</v>
      </c>
      <c r="I32" t="s">
        <v>37</v>
      </c>
      <c r="J32">
        <v>1</v>
      </c>
      <c r="K32">
        <v>1</v>
      </c>
      <c r="O32">
        <v>1</v>
      </c>
      <c r="T32">
        <v>1</v>
      </c>
      <c r="U32" t="s">
        <v>93</v>
      </c>
      <c r="V32" t="s">
        <v>93</v>
      </c>
      <c r="W32" t="s">
        <v>93</v>
      </c>
      <c r="Y32" t="s">
        <v>285</v>
      </c>
    </row>
    <row r="33" spans="1:25" x14ac:dyDescent="0.25">
      <c r="A33">
        <v>118</v>
      </c>
      <c r="B33" t="s">
        <v>380</v>
      </c>
      <c r="C33" t="s">
        <v>381</v>
      </c>
      <c r="D33" t="s">
        <v>30</v>
      </c>
      <c r="E33" t="s">
        <v>382</v>
      </c>
      <c r="F33" t="s">
        <v>383</v>
      </c>
      <c r="G33" t="s">
        <v>384</v>
      </c>
      <c r="H33" t="s">
        <v>31</v>
      </c>
      <c r="I33" t="s">
        <v>21</v>
      </c>
      <c r="J33">
        <v>1</v>
      </c>
      <c r="K33">
        <v>1</v>
      </c>
      <c r="O33">
        <v>1</v>
      </c>
      <c r="T33">
        <v>1</v>
      </c>
      <c r="U33" t="s">
        <v>93</v>
      </c>
      <c r="V33" t="s">
        <v>93</v>
      </c>
      <c r="W33" t="s">
        <v>93</v>
      </c>
      <c r="Y33" t="s">
        <v>29</v>
      </c>
    </row>
    <row r="36" spans="1:25" x14ac:dyDescent="0.25">
      <c r="A36">
        <f>COUNTA(A21:A35)</f>
        <v>13</v>
      </c>
      <c r="D36">
        <f>COUNTIF(D21:D35,"男")</f>
        <v>8</v>
      </c>
      <c r="K36">
        <f>SUM(K21:K35)</f>
        <v>5</v>
      </c>
      <c r="L36">
        <f t="shared" ref="L36:W36" si="1">SUM(L21:L35)</f>
        <v>5</v>
      </c>
      <c r="M36">
        <f t="shared" si="1"/>
        <v>4</v>
      </c>
      <c r="N36">
        <f t="shared" si="1"/>
        <v>1</v>
      </c>
      <c r="O36">
        <f t="shared" si="1"/>
        <v>13</v>
      </c>
      <c r="P36">
        <f t="shared" si="1"/>
        <v>7</v>
      </c>
      <c r="Q36">
        <f t="shared" si="1"/>
        <v>6</v>
      </c>
      <c r="R36">
        <f t="shared" si="1"/>
        <v>1</v>
      </c>
      <c r="S36">
        <f t="shared" si="1"/>
        <v>1</v>
      </c>
      <c r="T36">
        <f t="shared" si="1"/>
        <v>4</v>
      </c>
      <c r="U36">
        <f t="shared" si="1"/>
        <v>8</v>
      </c>
      <c r="V36">
        <f t="shared" si="1"/>
        <v>7</v>
      </c>
      <c r="W36">
        <f t="shared" si="1"/>
        <v>7</v>
      </c>
    </row>
    <row r="37" spans="1:25" ht="13" x14ac:dyDescent="0.25">
      <c r="A37" t="s">
        <v>429</v>
      </c>
      <c r="C37" s="1" t="s">
        <v>432</v>
      </c>
    </row>
    <row r="38" spans="1:25" x14ac:dyDescent="0.25">
      <c r="A38">
        <v>73</v>
      </c>
      <c r="B38" t="s">
        <v>238</v>
      </c>
      <c r="C38" t="s">
        <v>239</v>
      </c>
      <c r="D38" t="s">
        <v>16</v>
      </c>
      <c r="E38" t="s">
        <v>240</v>
      </c>
      <c r="F38" t="s">
        <v>241</v>
      </c>
      <c r="G38" t="s">
        <v>242</v>
      </c>
      <c r="H38" t="s">
        <v>28</v>
      </c>
      <c r="I38" t="s">
        <v>37</v>
      </c>
      <c r="J38">
        <v>1</v>
      </c>
      <c r="O38">
        <v>1</v>
      </c>
      <c r="P38">
        <v>1</v>
      </c>
      <c r="U38">
        <v>1</v>
      </c>
      <c r="V38">
        <v>1</v>
      </c>
      <c r="W38">
        <v>1</v>
      </c>
      <c r="Y38" t="s">
        <v>243</v>
      </c>
    </row>
    <row r="39" spans="1:25" ht="13" x14ac:dyDescent="0.25">
      <c r="A39">
        <v>69</v>
      </c>
      <c r="B39" t="s">
        <v>220</v>
      </c>
      <c r="C39" t="s">
        <v>221</v>
      </c>
      <c r="D39" t="s">
        <v>30</v>
      </c>
      <c r="E39" t="s">
        <v>222</v>
      </c>
      <c r="F39" t="s">
        <v>223</v>
      </c>
      <c r="G39" t="s">
        <v>224</v>
      </c>
      <c r="H39" t="s">
        <v>31</v>
      </c>
      <c r="I39" t="s">
        <v>21</v>
      </c>
      <c r="J39">
        <v>1</v>
      </c>
      <c r="L39">
        <v>1</v>
      </c>
      <c r="M39">
        <v>1</v>
      </c>
      <c r="O39">
        <v>1</v>
      </c>
      <c r="P39">
        <v>1</v>
      </c>
      <c r="Q39">
        <v>1</v>
      </c>
      <c r="U39">
        <v>1</v>
      </c>
      <c r="V39">
        <v>1</v>
      </c>
      <c r="W39">
        <v>1</v>
      </c>
      <c r="X39" s="1" t="s">
        <v>412</v>
      </c>
      <c r="Y39" t="s">
        <v>225</v>
      </c>
    </row>
    <row r="40" spans="1:25" x14ac:dyDescent="0.25">
      <c r="A40">
        <v>123</v>
      </c>
      <c r="B40" t="s">
        <v>395</v>
      </c>
      <c r="C40" t="s">
        <v>396</v>
      </c>
      <c r="D40" t="s">
        <v>30</v>
      </c>
      <c r="E40" t="s">
        <v>397</v>
      </c>
      <c r="F40" t="s">
        <v>398</v>
      </c>
      <c r="G40" t="s">
        <v>399</v>
      </c>
      <c r="H40" t="s">
        <v>44</v>
      </c>
      <c r="I40" t="s">
        <v>78</v>
      </c>
      <c r="J40">
        <v>1</v>
      </c>
      <c r="N40">
        <v>1</v>
      </c>
      <c r="O40">
        <v>1</v>
      </c>
      <c r="P40">
        <v>1</v>
      </c>
      <c r="Q40">
        <v>1</v>
      </c>
      <c r="U40">
        <v>1</v>
      </c>
      <c r="V40">
        <v>1</v>
      </c>
      <c r="W40">
        <v>1</v>
      </c>
      <c r="Y40" t="s">
        <v>400</v>
      </c>
    </row>
    <row r="41" spans="1:25" ht="13.5" x14ac:dyDescent="0.3">
      <c r="A41">
        <v>101</v>
      </c>
      <c r="B41" t="s">
        <v>323</v>
      </c>
      <c r="C41" t="s">
        <v>324</v>
      </c>
      <c r="D41" t="s">
        <v>30</v>
      </c>
      <c r="E41" t="s">
        <v>325</v>
      </c>
      <c r="F41" t="s">
        <v>325</v>
      </c>
      <c r="G41">
        <v>2110301239</v>
      </c>
      <c r="H41" t="s">
        <v>326</v>
      </c>
      <c r="I41" t="s">
        <v>49</v>
      </c>
      <c r="M41">
        <v>1</v>
      </c>
      <c r="O41">
        <v>1</v>
      </c>
      <c r="P41">
        <v>1</v>
      </c>
      <c r="U41">
        <v>1</v>
      </c>
      <c r="V41">
        <v>1</v>
      </c>
      <c r="W41">
        <v>1</v>
      </c>
      <c r="X41" s="4" t="s">
        <v>415</v>
      </c>
      <c r="Y41" s="3" t="s">
        <v>414</v>
      </c>
    </row>
    <row r="42" spans="1:25" x14ac:dyDescent="0.25">
      <c r="A42">
        <v>111</v>
      </c>
      <c r="B42" t="s">
        <v>360</v>
      </c>
      <c r="C42" t="s">
        <v>361</v>
      </c>
      <c r="D42" t="s">
        <v>30</v>
      </c>
      <c r="E42" t="s">
        <v>362</v>
      </c>
      <c r="F42" t="s">
        <v>363</v>
      </c>
      <c r="G42" t="s">
        <v>364</v>
      </c>
      <c r="H42" t="s">
        <v>106</v>
      </c>
      <c r="I42" t="s">
        <v>21</v>
      </c>
      <c r="J42">
        <v>1</v>
      </c>
      <c r="K42">
        <v>1</v>
      </c>
      <c r="O42">
        <v>1</v>
      </c>
      <c r="T42">
        <v>1</v>
      </c>
      <c r="U42" t="s">
        <v>93</v>
      </c>
      <c r="V42" t="s">
        <v>93</v>
      </c>
      <c r="W42" t="s">
        <v>93</v>
      </c>
      <c r="Y42" t="s">
        <v>365</v>
      </c>
    </row>
    <row r="43" spans="1:25" x14ac:dyDescent="0.25">
      <c r="A43">
        <v>34</v>
      </c>
      <c r="B43" t="s">
        <v>95</v>
      </c>
      <c r="C43" t="s">
        <v>96</v>
      </c>
      <c r="D43" t="s">
        <v>16</v>
      </c>
      <c r="E43" t="s">
        <v>97</v>
      </c>
      <c r="F43" t="s">
        <v>98</v>
      </c>
      <c r="G43" t="s">
        <v>99</v>
      </c>
      <c r="H43" t="s">
        <v>100</v>
      </c>
      <c r="I43" t="s">
        <v>37</v>
      </c>
      <c r="J43">
        <v>1</v>
      </c>
      <c r="K43">
        <v>1</v>
      </c>
      <c r="O43">
        <v>1</v>
      </c>
      <c r="T43">
        <v>1</v>
      </c>
      <c r="U43" t="s">
        <v>93</v>
      </c>
      <c r="V43" t="s">
        <v>93</v>
      </c>
      <c r="W43" t="s">
        <v>93</v>
      </c>
      <c r="Y43" t="s">
        <v>29</v>
      </c>
    </row>
    <row r="44" spans="1:25" ht="13" x14ac:dyDescent="0.25">
      <c r="A44">
        <v>5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>
        <v>1</v>
      </c>
      <c r="L44">
        <v>1</v>
      </c>
      <c r="M44">
        <v>1</v>
      </c>
      <c r="O44">
        <v>1</v>
      </c>
      <c r="P44">
        <v>1</v>
      </c>
      <c r="Q44">
        <v>1</v>
      </c>
      <c r="U44">
        <v>1</v>
      </c>
      <c r="V44">
        <v>1</v>
      </c>
      <c r="W44">
        <v>1</v>
      </c>
      <c r="X44" s="1" t="s">
        <v>408</v>
      </c>
      <c r="Y44" t="s">
        <v>22</v>
      </c>
    </row>
    <row r="45" spans="1:25" x14ac:dyDescent="0.25">
      <c r="A45">
        <v>24</v>
      </c>
      <c r="B45" t="s">
        <v>66</v>
      </c>
      <c r="C45" t="s">
        <v>67</v>
      </c>
      <c r="D45" t="s">
        <v>16</v>
      </c>
      <c r="E45" t="s">
        <v>68</v>
      </c>
      <c r="F45" t="s">
        <v>69</v>
      </c>
      <c r="G45" t="s">
        <v>70</v>
      </c>
      <c r="H45" t="s">
        <v>61</v>
      </c>
      <c r="I45" t="s">
        <v>37</v>
      </c>
      <c r="J45">
        <v>1</v>
      </c>
      <c r="O45">
        <v>1</v>
      </c>
      <c r="P45">
        <v>1</v>
      </c>
      <c r="Q45">
        <v>1</v>
      </c>
      <c r="U45">
        <v>1</v>
      </c>
      <c r="V45">
        <v>1</v>
      </c>
      <c r="W45">
        <v>1</v>
      </c>
      <c r="Y45" t="s">
        <v>71</v>
      </c>
    </row>
    <row r="46" spans="1:25" ht="13" x14ac:dyDescent="0.25">
      <c r="A46">
        <v>91</v>
      </c>
      <c r="B46" t="s">
        <v>293</v>
      </c>
      <c r="C46" t="s">
        <v>294</v>
      </c>
      <c r="D46" t="s">
        <v>30</v>
      </c>
      <c r="E46" t="s">
        <v>295</v>
      </c>
      <c r="F46" t="s">
        <v>296</v>
      </c>
      <c r="G46" t="s">
        <v>297</v>
      </c>
      <c r="H46" t="s">
        <v>28</v>
      </c>
      <c r="I46" t="s">
        <v>21</v>
      </c>
      <c r="L46">
        <v>1</v>
      </c>
      <c r="M46">
        <v>1</v>
      </c>
      <c r="O46">
        <v>1</v>
      </c>
      <c r="Q46">
        <v>1</v>
      </c>
      <c r="U46">
        <v>1</v>
      </c>
      <c r="V46">
        <v>1</v>
      </c>
      <c r="W46">
        <v>1</v>
      </c>
      <c r="X46" s="1" t="s">
        <v>413</v>
      </c>
      <c r="Y46" t="s">
        <v>298</v>
      </c>
    </row>
    <row r="47" spans="1:25" x14ac:dyDescent="0.25">
      <c r="A47">
        <v>30</v>
      </c>
      <c r="B47" t="s">
        <v>79</v>
      </c>
      <c r="C47" t="s">
        <v>80</v>
      </c>
      <c r="D47" t="s">
        <v>30</v>
      </c>
      <c r="E47" t="s">
        <v>81</v>
      </c>
      <c r="F47" t="s">
        <v>81</v>
      </c>
      <c r="G47">
        <v>2000011351</v>
      </c>
      <c r="H47" t="s">
        <v>31</v>
      </c>
      <c r="I47" t="s">
        <v>49</v>
      </c>
      <c r="J47">
        <v>1</v>
      </c>
      <c r="O47">
        <v>1</v>
      </c>
      <c r="T47">
        <v>1</v>
      </c>
      <c r="V47">
        <v>1</v>
      </c>
      <c r="Y47" t="s">
        <v>82</v>
      </c>
    </row>
    <row r="48" spans="1:25" x14ac:dyDescent="0.25">
      <c r="A48">
        <v>53</v>
      </c>
      <c r="B48" t="s">
        <v>163</v>
      </c>
      <c r="C48" t="s">
        <v>164</v>
      </c>
      <c r="D48" t="s">
        <v>30</v>
      </c>
      <c r="E48" t="s">
        <v>165</v>
      </c>
      <c r="F48" t="s">
        <v>166</v>
      </c>
      <c r="G48" t="s">
        <v>167</v>
      </c>
      <c r="H48" t="s">
        <v>61</v>
      </c>
      <c r="I48" t="s">
        <v>37</v>
      </c>
      <c r="J48">
        <v>1</v>
      </c>
      <c r="K48">
        <v>1</v>
      </c>
      <c r="O48">
        <v>1</v>
      </c>
      <c r="T48">
        <v>1</v>
      </c>
      <c r="U48" t="s">
        <v>93</v>
      </c>
      <c r="V48" t="s">
        <v>93</v>
      </c>
      <c r="W48" t="s">
        <v>93</v>
      </c>
      <c r="Y48" t="s">
        <v>168</v>
      </c>
    </row>
    <row r="49" spans="1:25" x14ac:dyDescent="0.25">
      <c r="A49">
        <v>66</v>
      </c>
      <c r="B49" t="s">
        <v>206</v>
      </c>
      <c r="C49" t="s">
        <v>207</v>
      </c>
      <c r="D49" t="s">
        <v>30</v>
      </c>
      <c r="E49" t="s">
        <v>208</v>
      </c>
      <c r="F49" t="s">
        <v>209</v>
      </c>
      <c r="G49" t="s">
        <v>210</v>
      </c>
      <c r="H49" t="s">
        <v>20</v>
      </c>
      <c r="I49" t="s">
        <v>211</v>
      </c>
      <c r="J49">
        <v>1</v>
      </c>
      <c r="K49">
        <v>1</v>
      </c>
      <c r="O49">
        <v>1</v>
      </c>
      <c r="P49">
        <v>1</v>
      </c>
      <c r="T49">
        <v>1</v>
      </c>
      <c r="U49" t="s">
        <v>93</v>
      </c>
      <c r="V49" t="s">
        <v>93</v>
      </c>
      <c r="W49" t="s">
        <v>93</v>
      </c>
      <c r="Y49" t="s">
        <v>212</v>
      </c>
    </row>
    <row r="50" spans="1:25" ht="13" x14ac:dyDescent="0.25">
      <c r="A50">
        <v>75</v>
      </c>
      <c r="B50" t="s">
        <v>249</v>
      </c>
      <c r="C50" t="s">
        <v>250</v>
      </c>
      <c r="D50" t="s">
        <v>30</v>
      </c>
      <c r="E50" t="s">
        <v>251</v>
      </c>
      <c r="F50" t="s">
        <v>251</v>
      </c>
      <c r="G50" t="s">
        <v>252</v>
      </c>
      <c r="H50" t="s">
        <v>100</v>
      </c>
      <c r="I50" t="s">
        <v>219</v>
      </c>
      <c r="J50">
        <v>1</v>
      </c>
      <c r="O50">
        <v>1</v>
      </c>
      <c r="Q50">
        <v>1</v>
      </c>
      <c r="V50">
        <v>1</v>
      </c>
      <c r="W50">
        <v>1</v>
      </c>
      <c r="X50" s="1" t="s">
        <v>412</v>
      </c>
      <c r="Y50" t="s">
        <v>253</v>
      </c>
    </row>
    <row r="51" spans="1:25" x14ac:dyDescent="0.25">
      <c r="A51">
        <v>124</v>
      </c>
      <c r="B51" t="s">
        <v>421</v>
      </c>
      <c r="C51" t="s">
        <v>422</v>
      </c>
      <c r="D51" t="s">
        <v>30</v>
      </c>
      <c r="E51" t="s">
        <v>423</v>
      </c>
      <c r="F51" t="s">
        <v>423</v>
      </c>
      <c r="G51" t="s">
        <v>424</v>
      </c>
      <c r="H51" t="s">
        <v>425</v>
      </c>
      <c r="I51" t="s">
        <v>37</v>
      </c>
      <c r="J51">
        <v>1</v>
      </c>
      <c r="K51">
        <v>1</v>
      </c>
      <c r="O51">
        <v>1</v>
      </c>
      <c r="T51">
        <v>1</v>
      </c>
      <c r="U51" t="s">
        <v>93</v>
      </c>
      <c r="V51" t="s">
        <v>93</v>
      </c>
      <c r="W51" t="s">
        <v>93</v>
      </c>
      <c r="X51" t="s">
        <v>426</v>
      </c>
    </row>
    <row r="52" spans="1:25" x14ac:dyDescent="0.25">
      <c r="A52">
        <f>COUNTA(A38:A51)</f>
        <v>14</v>
      </c>
      <c r="D52">
        <f>COUNTIF(D38:D51,"男")</f>
        <v>10</v>
      </c>
      <c r="K52">
        <f>SUM(K38:K51)</f>
        <v>5</v>
      </c>
      <c r="L52">
        <f t="shared" ref="L52:W52" si="2">SUM(L38:L51)</f>
        <v>3</v>
      </c>
      <c r="M52">
        <f t="shared" si="2"/>
        <v>4</v>
      </c>
      <c r="N52">
        <f t="shared" si="2"/>
        <v>1</v>
      </c>
      <c r="O52">
        <f t="shared" si="2"/>
        <v>14</v>
      </c>
      <c r="P52">
        <f t="shared" si="2"/>
        <v>7</v>
      </c>
      <c r="Q52">
        <f t="shared" si="2"/>
        <v>6</v>
      </c>
      <c r="R52">
        <f t="shared" si="2"/>
        <v>0</v>
      </c>
      <c r="S52">
        <f t="shared" si="2"/>
        <v>0</v>
      </c>
      <c r="T52">
        <f t="shared" si="2"/>
        <v>6</v>
      </c>
      <c r="U52">
        <f t="shared" si="2"/>
        <v>7</v>
      </c>
      <c r="V52">
        <f t="shared" si="2"/>
        <v>9</v>
      </c>
      <c r="W52">
        <f t="shared" si="2"/>
        <v>8</v>
      </c>
    </row>
    <row r="56" spans="1:25" ht="13" x14ac:dyDescent="0.25">
      <c r="A56" t="s">
        <v>430</v>
      </c>
      <c r="C56" s="1" t="s">
        <v>408</v>
      </c>
    </row>
    <row r="57" spans="1:25" x14ac:dyDescent="0.25">
      <c r="A57">
        <v>64</v>
      </c>
      <c r="B57" t="s">
        <v>200</v>
      </c>
      <c r="C57" t="s">
        <v>201</v>
      </c>
      <c r="D57" t="s">
        <v>30</v>
      </c>
      <c r="E57" t="s">
        <v>202</v>
      </c>
      <c r="F57" t="s">
        <v>203</v>
      </c>
      <c r="G57">
        <v>2101213232</v>
      </c>
      <c r="H57" t="s">
        <v>204</v>
      </c>
      <c r="I57" t="s">
        <v>205</v>
      </c>
      <c r="J57">
        <v>1</v>
      </c>
      <c r="O57">
        <v>1</v>
      </c>
      <c r="R57">
        <v>1</v>
      </c>
      <c r="V57">
        <v>1</v>
      </c>
      <c r="W57">
        <v>1</v>
      </c>
      <c r="Y57" t="s">
        <v>29</v>
      </c>
    </row>
    <row r="58" spans="1:25" x14ac:dyDescent="0.25">
      <c r="A58">
        <v>74</v>
      </c>
      <c r="B58" t="s">
        <v>244</v>
      </c>
      <c r="C58" t="s">
        <v>245</v>
      </c>
      <c r="D58" t="s">
        <v>30</v>
      </c>
      <c r="E58" t="s">
        <v>246</v>
      </c>
      <c r="F58" t="s">
        <v>246</v>
      </c>
      <c r="G58" t="s">
        <v>247</v>
      </c>
      <c r="H58" t="s">
        <v>248</v>
      </c>
      <c r="I58" t="s">
        <v>21</v>
      </c>
      <c r="L58">
        <v>1</v>
      </c>
      <c r="M58">
        <v>1</v>
      </c>
      <c r="O58">
        <v>1</v>
      </c>
      <c r="Q58">
        <v>1</v>
      </c>
      <c r="U58">
        <v>1</v>
      </c>
      <c r="V58">
        <v>1</v>
      </c>
      <c r="W58">
        <v>1</v>
      </c>
      <c r="Y58" t="s">
        <v>29</v>
      </c>
    </row>
    <row r="59" spans="1:25" ht="13" x14ac:dyDescent="0.25">
      <c r="A59">
        <v>40</v>
      </c>
      <c r="B59" t="s">
        <v>117</v>
      </c>
      <c r="C59" t="s">
        <v>118</v>
      </c>
      <c r="D59" t="s">
        <v>30</v>
      </c>
      <c r="E59" t="s">
        <v>119</v>
      </c>
      <c r="F59" t="s">
        <v>120</v>
      </c>
      <c r="G59">
        <v>2010120106</v>
      </c>
      <c r="H59" t="s">
        <v>121</v>
      </c>
      <c r="I59" t="s">
        <v>101</v>
      </c>
      <c r="M59">
        <v>1</v>
      </c>
      <c r="O59">
        <v>1</v>
      </c>
      <c r="P59">
        <v>1</v>
      </c>
      <c r="Q59">
        <v>1</v>
      </c>
      <c r="U59">
        <v>1</v>
      </c>
      <c r="V59">
        <v>1</v>
      </c>
      <c r="X59" s="2" t="s">
        <v>410</v>
      </c>
      <c r="Y59" t="s">
        <v>122</v>
      </c>
    </row>
    <row r="60" spans="1:25" x14ac:dyDescent="0.25">
      <c r="A60">
        <v>99</v>
      </c>
      <c r="B60" t="s">
        <v>318</v>
      </c>
      <c r="C60" t="s">
        <v>319</v>
      </c>
      <c r="D60" t="s">
        <v>30</v>
      </c>
      <c r="E60" t="s">
        <v>320</v>
      </c>
      <c r="F60" t="s">
        <v>320</v>
      </c>
      <c r="G60">
        <v>2100011532</v>
      </c>
      <c r="H60" t="s">
        <v>31</v>
      </c>
      <c r="I60" t="s">
        <v>321</v>
      </c>
      <c r="L60">
        <v>1</v>
      </c>
      <c r="O60">
        <v>1</v>
      </c>
      <c r="P60">
        <v>1</v>
      </c>
      <c r="Q60">
        <v>1</v>
      </c>
      <c r="U60">
        <v>1</v>
      </c>
      <c r="V60">
        <v>1</v>
      </c>
      <c r="W60">
        <v>1</v>
      </c>
      <c r="Y60" t="s">
        <v>322</v>
      </c>
    </row>
    <row r="61" spans="1:25" x14ac:dyDescent="0.25">
      <c r="A61">
        <v>20</v>
      </c>
      <c r="B61" t="s">
        <v>51</v>
      </c>
      <c r="C61" t="s">
        <v>52</v>
      </c>
      <c r="D61" t="s">
        <v>16</v>
      </c>
      <c r="E61" t="s">
        <v>53</v>
      </c>
      <c r="F61" t="s">
        <v>54</v>
      </c>
      <c r="G61" t="s">
        <v>55</v>
      </c>
      <c r="H61" t="s">
        <v>31</v>
      </c>
      <c r="I61" t="s">
        <v>56</v>
      </c>
      <c r="J61">
        <v>1</v>
      </c>
      <c r="O61">
        <v>1</v>
      </c>
      <c r="P61">
        <v>1</v>
      </c>
      <c r="Q61">
        <v>1</v>
      </c>
      <c r="U61">
        <v>1</v>
      </c>
      <c r="V61">
        <v>1</v>
      </c>
      <c r="W61">
        <v>1</v>
      </c>
      <c r="Y61" t="s">
        <v>57</v>
      </c>
    </row>
    <row r="62" spans="1:25" x14ac:dyDescent="0.25">
      <c r="A62">
        <v>9</v>
      </c>
      <c r="B62" t="s">
        <v>32</v>
      </c>
      <c r="C62" t="s">
        <v>33</v>
      </c>
      <c r="D62" t="s">
        <v>16</v>
      </c>
      <c r="E62" t="s">
        <v>34</v>
      </c>
      <c r="F62" t="s">
        <v>35</v>
      </c>
      <c r="G62" t="s">
        <v>36</v>
      </c>
      <c r="H62" t="s">
        <v>20</v>
      </c>
      <c r="I62" t="s">
        <v>21</v>
      </c>
      <c r="J62">
        <v>1</v>
      </c>
      <c r="L62">
        <v>1</v>
      </c>
      <c r="M62">
        <v>1</v>
      </c>
      <c r="O62">
        <v>1</v>
      </c>
      <c r="P62">
        <v>1</v>
      </c>
      <c r="Q62">
        <v>1</v>
      </c>
      <c r="U62">
        <v>1</v>
      </c>
      <c r="V62">
        <v>1</v>
      </c>
      <c r="W62">
        <v>1</v>
      </c>
      <c r="Y62" t="s">
        <v>29</v>
      </c>
    </row>
    <row r="63" spans="1:25" x14ac:dyDescent="0.25">
      <c r="A63">
        <v>83</v>
      </c>
      <c r="B63" t="s">
        <v>269</v>
      </c>
      <c r="C63" t="s">
        <v>270</v>
      </c>
      <c r="D63" t="s">
        <v>30</v>
      </c>
      <c r="E63" t="s">
        <v>271</v>
      </c>
      <c r="F63" t="s">
        <v>272</v>
      </c>
      <c r="G63" t="s">
        <v>273</v>
      </c>
      <c r="H63" t="s">
        <v>274</v>
      </c>
      <c r="I63" t="s">
        <v>21</v>
      </c>
      <c r="J63">
        <v>1</v>
      </c>
      <c r="O63">
        <v>1</v>
      </c>
      <c r="P63" s="9">
        <v>1</v>
      </c>
      <c r="S63">
        <v>1</v>
      </c>
      <c r="U63">
        <v>1</v>
      </c>
      <c r="V63">
        <v>1</v>
      </c>
      <c r="Y63" t="s">
        <v>29</v>
      </c>
    </row>
    <row r="64" spans="1:25" ht="13" x14ac:dyDescent="0.25">
      <c r="A64">
        <v>46</v>
      </c>
      <c r="B64" t="s">
        <v>136</v>
      </c>
      <c r="C64" t="s">
        <v>137</v>
      </c>
      <c r="D64" t="s">
        <v>30</v>
      </c>
      <c r="E64" t="s">
        <v>138</v>
      </c>
      <c r="F64" t="s">
        <v>139</v>
      </c>
      <c r="G64">
        <v>2100011856</v>
      </c>
      <c r="H64" t="s">
        <v>140</v>
      </c>
      <c r="I64" t="s">
        <v>21</v>
      </c>
      <c r="J64">
        <v>1</v>
      </c>
      <c r="O64">
        <v>1</v>
      </c>
      <c r="Q64">
        <v>1</v>
      </c>
      <c r="U64">
        <v>1</v>
      </c>
      <c r="V64">
        <v>1</v>
      </c>
      <c r="W64">
        <v>1</v>
      </c>
      <c r="X64" s="1" t="s">
        <v>411</v>
      </c>
      <c r="Y64" t="s">
        <v>141</v>
      </c>
    </row>
    <row r="65" spans="1:25" x14ac:dyDescent="0.25">
      <c r="A65">
        <v>51</v>
      </c>
      <c r="B65" t="s">
        <v>148</v>
      </c>
      <c r="C65" t="s">
        <v>149</v>
      </c>
      <c r="D65" t="s">
        <v>16</v>
      </c>
      <c r="E65" t="s">
        <v>150</v>
      </c>
      <c r="F65" t="s">
        <v>151</v>
      </c>
      <c r="G65" t="s">
        <v>152</v>
      </c>
      <c r="H65" t="s">
        <v>153</v>
      </c>
      <c r="I65" t="s">
        <v>37</v>
      </c>
      <c r="J65">
        <v>1</v>
      </c>
      <c r="K65">
        <v>1</v>
      </c>
      <c r="O65">
        <v>1</v>
      </c>
      <c r="T65">
        <v>1</v>
      </c>
      <c r="U65" t="s">
        <v>93</v>
      </c>
      <c r="V65" t="s">
        <v>93</v>
      </c>
      <c r="W65" t="s">
        <v>93</v>
      </c>
      <c r="Y65" t="s">
        <v>154</v>
      </c>
    </row>
    <row r="66" spans="1:25" x14ac:dyDescent="0.25">
      <c r="A66">
        <v>52</v>
      </c>
      <c r="B66" t="s">
        <v>155</v>
      </c>
      <c r="C66" t="s">
        <v>156</v>
      </c>
      <c r="D66" t="s">
        <v>16</v>
      </c>
      <c r="E66" t="s">
        <v>157</v>
      </c>
      <c r="F66" t="s">
        <v>158</v>
      </c>
      <c r="G66" t="s">
        <v>159</v>
      </c>
      <c r="H66" t="s">
        <v>160</v>
      </c>
      <c r="I66" t="s">
        <v>161</v>
      </c>
      <c r="J66">
        <v>1</v>
      </c>
      <c r="K66">
        <v>1</v>
      </c>
      <c r="O66">
        <v>1</v>
      </c>
      <c r="T66">
        <v>1</v>
      </c>
      <c r="U66" t="s">
        <v>93</v>
      </c>
      <c r="V66" t="s">
        <v>93</v>
      </c>
      <c r="W66" t="s">
        <v>93</v>
      </c>
      <c r="Y66" t="s">
        <v>162</v>
      </c>
    </row>
    <row r="67" spans="1:25" x14ac:dyDescent="0.25">
      <c r="A67">
        <v>56</v>
      </c>
      <c r="B67" t="s">
        <v>175</v>
      </c>
      <c r="C67" t="s">
        <v>176</v>
      </c>
      <c r="D67" t="s">
        <v>30</v>
      </c>
      <c r="E67" t="s">
        <v>177</v>
      </c>
      <c r="F67" t="s">
        <v>178</v>
      </c>
      <c r="G67" t="s">
        <v>179</v>
      </c>
      <c r="H67" t="s">
        <v>180</v>
      </c>
      <c r="I67" t="s">
        <v>37</v>
      </c>
      <c r="J67">
        <v>1</v>
      </c>
      <c r="O67">
        <v>1</v>
      </c>
      <c r="P67">
        <v>1</v>
      </c>
      <c r="T67">
        <v>1</v>
      </c>
      <c r="V67">
        <v>1</v>
      </c>
      <c r="W67">
        <v>1</v>
      </c>
      <c r="Y67" t="s">
        <v>181</v>
      </c>
    </row>
    <row r="68" spans="1:25" x14ac:dyDescent="0.25">
      <c r="A68">
        <v>102</v>
      </c>
      <c r="B68" t="s">
        <v>327</v>
      </c>
      <c r="C68">
        <v>3000</v>
      </c>
      <c r="D68" t="s">
        <v>30</v>
      </c>
      <c r="E68" t="s">
        <v>328</v>
      </c>
      <c r="F68" t="s">
        <v>329</v>
      </c>
      <c r="G68" t="s">
        <v>330</v>
      </c>
      <c r="H68" t="s">
        <v>106</v>
      </c>
      <c r="I68" t="s">
        <v>37</v>
      </c>
      <c r="J68">
        <v>1</v>
      </c>
      <c r="K68">
        <v>1</v>
      </c>
      <c r="O68">
        <v>1</v>
      </c>
      <c r="T68">
        <v>1</v>
      </c>
      <c r="U68" t="s">
        <v>93</v>
      </c>
      <c r="V68" t="s">
        <v>93</v>
      </c>
      <c r="W68" t="s">
        <v>93</v>
      </c>
      <c r="Y68" t="s">
        <v>29</v>
      </c>
    </row>
    <row r="69" spans="1:25" x14ac:dyDescent="0.25">
      <c r="A69">
        <v>104</v>
      </c>
      <c r="B69" t="s">
        <v>337</v>
      </c>
      <c r="C69" t="s">
        <v>338</v>
      </c>
      <c r="D69" t="s">
        <v>30</v>
      </c>
      <c r="E69" t="s">
        <v>339</v>
      </c>
      <c r="F69" t="s">
        <v>340</v>
      </c>
      <c r="G69" t="s">
        <v>341</v>
      </c>
      <c r="H69" t="s">
        <v>342</v>
      </c>
      <c r="I69" t="s">
        <v>37</v>
      </c>
      <c r="J69">
        <v>1</v>
      </c>
      <c r="K69">
        <v>1</v>
      </c>
      <c r="O69">
        <v>1</v>
      </c>
      <c r="T69">
        <v>1</v>
      </c>
      <c r="U69" t="s">
        <v>93</v>
      </c>
      <c r="V69" t="s">
        <v>93</v>
      </c>
      <c r="W69" t="s">
        <v>93</v>
      </c>
      <c r="Y69" t="s">
        <v>343</v>
      </c>
    </row>
    <row r="70" spans="1:25" x14ac:dyDescent="0.25">
      <c r="A70">
        <v>124</v>
      </c>
      <c r="B70" t="s">
        <v>421</v>
      </c>
      <c r="C70" t="s">
        <v>422</v>
      </c>
      <c r="D70" t="s">
        <v>30</v>
      </c>
      <c r="E70" t="s">
        <v>423</v>
      </c>
      <c r="F70" t="s">
        <v>423</v>
      </c>
      <c r="G70" t="s">
        <v>424</v>
      </c>
      <c r="H70" t="s">
        <v>425</v>
      </c>
      <c r="I70" t="s">
        <v>37</v>
      </c>
      <c r="J70">
        <v>1</v>
      </c>
      <c r="K70">
        <v>1</v>
      </c>
      <c r="O70">
        <v>1</v>
      </c>
      <c r="T70">
        <v>1</v>
      </c>
      <c r="U70" t="s">
        <v>93</v>
      </c>
      <c r="V70" t="s">
        <v>93</v>
      </c>
      <c r="W70" t="s">
        <v>93</v>
      </c>
      <c r="X70" t="s">
        <v>426</v>
      </c>
    </row>
    <row r="71" spans="1:25" x14ac:dyDescent="0.25">
      <c r="A71">
        <f>COUNTA(A57:A70)</f>
        <v>14</v>
      </c>
      <c r="D71">
        <f>COUNTIF(D57:D70,"男")</f>
        <v>10</v>
      </c>
      <c r="K71">
        <f>SUM(K57:K70)</f>
        <v>5</v>
      </c>
      <c r="L71">
        <f t="shared" ref="L71:W71" si="3">SUM(L57:L70)</f>
        <v>3</v>
      </c>
      <c r="M71">
        <f t="shared" si="3"/>
        <v>3</v>
      </c>
      <c r="N71">
        <f t="shared" si="3"/>
        <v>0</v>
      </c>
      <c r="O71">
        <f t="shared" si="3"/>
        <v>14</v>
      </c>
      <c r="P71">
        <f t="shared" si="3"/>
        <v>6</v>
      </c>
      <c r="Q71">
        <f t="shared" si="3"/>
        <v>6</v>
      </c>
      <c r="R71">
        <f t="shared" si="3"/>
        <v>1</v>
      </c>
      <c r="S71">
        <f t="shared" si="3"/>
        <v>1</v>
      </c>
      <c r="T71">
        <f t="shared" si="3"/>
        <v>6</v>
      </c>
      <c r="U71">
        <f t="shared" si="3"/>
        <v>7</v>
      </c>
      <c r="V71">
        <f t="shared" si="3"/>
        <v>9</v>
      </c>
      <c r="W71">
        <f t="shared" si="3"/>
        <v>7</v>
      </c>
    </row>
    <row r="74" spans="1:25" ht="13" x14ac:dyDescent="0.25">
      <c r="A74" t="s">
        <v>431</v>
      </c>
      <c r="B74" s="1" t="s">
        <v>409</v>
      </c>
      <c r="C74" s="1" t="s">
        <v>409</v>
      </c>
    </row>
    <row r="75" spans="1:25" x14ac:dyDescent="0.25">
      <c r="A75">
        <v>44</v>
      </c>
      <c r="B75" t="s">
        <v>129</v>
      </c>
      <c r="C75" t="s">
        <v>130</v>
      </c>
      <c r="D75" t="s">
        <v>30</v>
      </c>
      <c r="E75" t="s">
        <v>131</v>
      </c>
      <c r="F75" t="s">
        <v>132</v>
      </c>
      <c r="G75" t="s">
        <v>133</v>
      </c>
      <c r="H75" t="s">
        <v>134</v>
      </c>
      <c r="I75" t="s">
        <v>37</v>
      </c>
      <c r="J75">
        <v>1</v>
      </c>
      <c r="O75">
        <v>1</v>
      </c>
      <c r="P75">
        <v>1</v>
      </c>
      <c r="Q75">
        <v>1</v>
      </c>
      <c r="U75">
        <v>1</v>
      </c>
      <c r="V75">
        <v>1</v>
      </c>
      <c r="W75">
        <v>1</v>
      </c>
      <c r="Y75" t="s">
        <v>135</v>
      </c>
    </row>
    <row r="76" spans="1:25" x14ac:dyDescent="0.25">
      <c r="A76">
        <v>78</v>
      </c>
      <c r="B76" t="s">
        <v>259</v>
      </c>
      <c r="C76" t="s">
        <v>260</v>
      </c>
      <c r="D76" t="s">
        <v>30</v>
      </c>
      <c r="E76" t="s">
        <v>261</v>
      </c>
      <c r="F76" t="s">
        <v>262</v>
      </c>
      <c r="G76" t="s">
        <v>263</v>
      </c>
      <c r="H76" t="s">
        <v>100</v>
      </c>
      <c r="I76" t="s">
        <v>21</v>
      </c>
      <c r="L76">
        <v>1</v>
      </c>
      <c r="N76">
        <v>1</v>
      </c>
      <c r="O76">
        <v>1</v>
      </c>
      <c r="P76">
        <v>1</v>
      </c>
      <c r="Q76">
        <v>1</v>
      </c>
      <c r="U76">
        <v>1</v>
      </c>
      <c r="V76">
        <v>1</v>
      </c>
      <c r="Y76" t="s">
        <v>29</v>
      </c>
    </row>
    <row r="77" spans="1:25" x14ac:dyDescent="0.25">
      <c r="A77">
        <v>110</v>
      </c>
      <c r="B77" t="s">
        <v>355</v>
      </c>
      <c r="C77" t="s">
        <v>356</v>
      </c>
      <c r="D77" t="s">
        <v>30</v>
      </c>
      <c r="E77" t="s">
        <v>357</v>
      </c>
      <c r="F77" t="s">
        <v>358</v>
      </c>
      <c r="G77">
        <v>2000017711</v>
      </c>
      <c r="H77" t="s">
        <v>291</v>
      </c>
      <c r="I77" t="s">
        <v>101</v>
      </c>
      <c r="J77">
        <v>1</v>
      </c>
      <c r="L77">
        <v>1</v>
      </c>
      <c r="M77">
        <v>1</v>
      </c>
      <c r="O77">
        <v>1</v>
      </c>
      <c r="P77">
        <v>1</v>
      </c>
      <c r="Q77">
        <v>1</v>
      </c>
      <c r="U77">
        <v>1</v>
      </c>
      <c r="V77">
        <v>1</v>
      </c>
      <c r="W77">
        <v>1</v>
      </c>
      <c r="Y77" t="s">
        <v>359</v>
      </c>
    </row>
    <row r="78" spans="1:25" x14ac:dyDescent="0.25">
      <c r="A78">
        <v>77</v>
      </c>
      <c r="B78" t="s">
        <v>254</v>
      </c>
      <c r="C78" t="s">
        <v>255</v>
      </c>
      <c r="D78" t="s">
        <v>16</v>
      </c>
      <c r="E78" t="s">
        <v>256</v>
      </c>
      <c r="F78" t="s">
        <v>257</v>
      </c>
      <c r="G78">
        <v>2110108109</v>
      </c>
      <c r="H78" t="s">
        <v>153</v>
      </c>
      <c r="I78" t="s">
        <v>49</v>
      </c>
      <c r="J78">
        <v>1</v>
      </c>
      <c r="L78">
        <v>1</v>
      </c>
      <c r="M78">
        <v>1</v>
      </c>
      <c r="O78">
        <v>1</v>
      </c>
      <c r="P78">
        <v>1</v>
      </c>
      <c r="Q78">
        <v>1</v>
      </c>
      <c r="U78">
        <v>1</v>
      </c>
      <c r="V78">
        <v>1</v>
      </c>
      <c r="W78">
        <v>1</v>
      </c>
      <c r="Y78" t="s">
        <v>258</v>
      </c>
    </row>
    <row r="79" spans="1:25" ht="13" x14ac:dyDescent="0.25">
      <c r="A79">
        <v>23</v>
      </c>
      <c r="B79" t="s">
        <v>62</v>
      </c>
      <c r="C79" t="s">
        <v>63</v>
      </c>
      <c r="D79" t="s">
        <v>30</v>
      </c>
      <c r="E79" t="s">
        <v>64</v>
      </c>
      <c r="F79" t="s">
        <v>64</v>
      </c>
      <c r="G79">
        <v>2100011899</v>
      </c>
      <c r="H79" t="s">
        <v>31</v>
      </c>
      <c r="I79" t="s">
        <v>21</v>
      </c>
      <c r="J79">
        <v>1</v>
      </c>
      <c r="L79">
        <v>1</v>
      </c>
      <c r="O79">
        <v>1</v>
      </c>
      <c r="P79">
        <v>1</v>
      </c>
      <c r="U79">
        <v>1</v>
      </c>
      <c r="V79">
        <v>1</v>
      </c>
      <c r="W79">
        <v>1</v>
      </c>
      <c r="X79" s="1" t="s">
        <v>408</v>
      </c>
      <c r="Y79" t="s">
        <v>65</v>
      </c>
    </row>
    <row r="80" spans="1:25" x14ac:dyDescent="0.25">
      <c r="A80">
        <v>39</v>
      </c>
      <c r="B80" t="s">
        <v>114</v>
      </c>
      <c r="C80" s="10" t="s">
        <v>434</v>
      </c>
      <c r="D80" t="s">
        <v>30</v>
      </c>
      <c r="E80" t="s">
        <v>115</v>
      </c>
      <c r="F80" t="s">
        <v>115</v>
      </c>
      <c r="G80">
        <v>2000011541</v>
      </c>
      <c r="H80" t="s">
        <v>31</v>
      </c>
      <c r="I80" t="s">
        <v>101</v>
      </c>
      <c r="L80">
        <v>1</v>
      </c>
      <c r="O80">
        <v>1</v>
      </c>
      <c r="P80">
        <v>1</v>
      </c>
      <c r="Q80">
        <v>1</v>
      </c>
      <c r="U80">
        <v>1</v>
      </c>
      <c r="Y80" t="s">
        <v>116</v>
      </c>
    </row>
    <row r="81" spans="1:25" x14ac:dyDescent="0.25">
      <c r="A81">
        <v>96</v>
      </c>
      <c r="B81" t="s">
        <v>299</v>
      </c>
      <c r="C81" t="s">
        <v>300</v>
      </c>
      <c r="D81" t="s">
        <v>16</v>
      </c>
      <c r="E81" t="s">
        <v>301</v>
      </c>
      <c r="F81" t="s">
        <v>301</v>
      </c>
      <c r="G81" t="s">
        <v>302</v>
      </c>
      <c r="H81" t="s">
        <v>44</v>
      </c>
      <c r="I81" t="s">
        <v>303</v>
      </c>
      <c r="J81">
        <v>1</v>
      </c>
      <c r="O81">
        <v>1</v>
      </c>
      <c r="Q81">
        <v>1</v>
      </c>
      <c r="U81">
        <v>1</v>
      </c>
      <c r="V81">
        <v>1</v>
      </c>
      <c r="W81">
        <v>1</v>
      </c>
      <c r="Y81" t="s">
        <v>304</v>
      </c>
    </row>
    <row r="82" spans="1:25" x14ac:dyDescent="0.25">
      <c r="A82">
        <v>48</v>
      </c>
      <c r="B82" t="s">
        <v>142</v>
      </c>
      <c r="C82" t="s">
        <v>143</v>
      </c>
      <c r="D82" t="s">
        <v>30</v>
      </c>
      <c r="E82" t="s">
        <v>144</v>
      </c>
      <c r="F82" t="s">
        <v>145</v>
      </c>
      <c r="G82" t="s">
        <v>146</v>
      </c>
      <c r="H82" t="s">
        <v>100</v>
      </c>
      <c r="I82" t="s">
        <v>21</v>
      </c>
      <c r="J82">
        <v>1</v>
      </c>
      <c r="N82">
        <v>1</v>
      </c>
      <c r="O82">
        <v>1</v>
      </c>
      <c r="R82">
        <v>1</v>
      </c>
      <c r="U82">
        <v>1</v>
      </c>
      <c r="V82">
        <v>1</v>
      </c>
      <c r="W82">
        <v>1</v>
      </c>
      <c r="Y82" t="s">
        <v>147</v>
      </c>
    </row>
    <row r="83" spans="1:25" x14ac:dyDescent="0.25">
      <c r="A83">
        <v>41</v>
      </c>
      <c r="B83" t="s">
        <v>123</v>
      </c>
      <c r="C83" t="s">
        <v>124</v>
      </c>
      <c r="D83" t="s">
        <v>16</v>
      </c>
      <c r="E83" t="s">
        <v>125</v>
      </c>
      <c r="F83" t="s">
        <v>126</v>
      </c>
      <c r="G83" t="s">
        <v>127</v>
      </c>
      <c r="H83" t="s">
        <v>128</v>
      </c>
      <c r="I83" t="s">
        <v>37</v>
      </c>
      <c r="J83">
        <v>1</v>
      </c>
      <c r="O83">
        <v>1</v>
      </c>
      <c r="P83">
        <v>1</v>
      </c>
      <c r="U83">
        <v>1</v>
      </c>
      <c r="V83">
        <v>1</v>
      </c>
      <c r="W83">
        <v>1</v>
      </c>
      <c r="Y83" t="s">
        <v>29</v>
      </c>
    </row>
    <row r="84" spans="1:25" x14ac:dyDescent="0.25">
      <c r="A84">
        <v>72</v>
      </c>
      <c r="B84" t="s">
        <v>232</v>
      </c>
      <c r="C84" t="s">
        <v>233</v>
      </c>
      <c r="D84" t="s">
        <v>16</v>
      </c>
      <c r="E84" t="s">
        <v>234</v>
      </c>
      <c r="F84" t="s">
        <v>235</v>
      </c>
      <c r="G84" t="s">
        <v>236</v>
      </c>
      <c r="H84" t="s">
        <v>237</v>
      </c>
      <c r="I84" t="s">
        <v>37</v>
      </c>
      <c r="J84">
        <v>1</v>
      </c>
      <c r="K84">
        <v>1</v>
      </c>
      <c r="O84">
        <v>1</v>
      </c>
      <c r="T84">
        <v>1</v>
      </c>
      <c r="V84">
        <v>1</v>
      </c>
      <c r="Y84" t="s">
        <v>29</v>
      </c>
    </row>
    <row r="85" spans="1:25" x14ac:dyDescent="0.25">
      <c r="A85">
        <v>63</v>
      </c>
      <c r="B85" t="s">
        <v>194</v>
      </c>
      <c r="C85" t="s">
        <v>195</v>
      </c>
      <c r="D85" t="s">
        <v>16</v>
      </c>
      <c r="E85" t="s">
        <v>196</v>
      </c>
      <c r="F85" t="s">
        <v>197</v>
      </c>
      <c r="G85" t="s">
        <v>198</v>
      </c>
      <c r="H85" t="s">
        <v>160</v>
      </c>
      <c r="I85" t="s">
        <v>21</v>
      </c>
      <c r="J85">
        <v>1</v>
      </c>
      <c r="K85">
        <v>1</v>
      </c>
      <c r="O85">
        <v>1</v>
      </c>
      <c r="R85">
        <v>1</v>
      </c>
      <c r="W85">
        <v>1</v>
      </c>
      <c r="Y85" t="s">
        <v>199</v>
      </c>
    </row>
    <row r="86" spans="1:25" x14ac:dyDescent="0.25">
      <c r="A86">
        <v>67</v>
      </c>
      <c r="B86" t="s">
        <v>213</v>
      </c>
      <c r="C86" t="s">
        <v>214</v>
      </c>
      <c r="D86" t="s">
        <v>30</v>
      </c>
      <c r="E86" t="s">
        <v>215</v>
      </c>
      <c r="F86" t="s">
        <v>216</v>
      </c>
      <c r="G86" t="s">
        <v>217</v>
      </c>
      <c r="H86" t="s">
        <v>106</v>
      </c>
      <c r="I86" t="s">
        <v>37</v>
      </c>
      <c r="J86">
        <v>1</v>
      </c>
      <c r="K86">
        <v>1</v>
      </c>
      <c r="N86">
        <v>1</v>
      </c>
      <c r="O86">
        <v>1</v>
      </c>
      <c r="P86">
        <v>1</v>
      </c>
      <c r="S86">
        <v>1</v>
      </c>
      <c r="U86" t="s">
        <v>93</v>
      </c>
      <c r="V86" t="s">
        <v>93</v>
      </c>
      <c r="W86" t="s">
        <v>93</v>
      </c>
      <c r="Y86" t="s">
        <v>218</v>
      </c>
    </row>
    <row r="87" spans="1:25" x14ac:dyDescent="0.25">
      <c r="A87">
        <v>109</v>
      </c>
      <c r="B87" t="s">
        <v>350</v>
      </c>
      <c r="C87" t="s">
        <v>351</v>
      </c>
      <c r="D87" t="s">
        <v>30</v>
      </c>
      <c r="E87" t="s">
        <v>352</v>
      </c>
      <c r="F87" t="s">
        <v>352</v>
      </c>
      <c r="G87" t="s">
        <v>353</v>
      </c>
      <c r="H87" t="s">
        <v>31</v>
      </c>
      <c r="I87" t="s">
        <v>21</v>
      </c>
      <c r="K87">
        <v>1</v>
      </c>
      <c r="O87">
        <v>1</v>
      </c>
      <c r="T87">
        <v>1</v>
      </c>
      <c r="U87" t="s">
        <v>93</v>
      </c>
      <c r="V87" t="s">
        <v>93</v>
      </c>
      <c r="W87" t="s">
        <v>93</v>
      </c>
      <c r="X87" t="s">
        <v>420</v>
      </c>
      <c r="Y87" t="s">
        <v>354</v>
      </c>
    </row>
    <row r="88" spans="1:25" x14ac:dyDescent="0.25">
      <c r="A88">
        <v>125</v>
      </c>
      <c r="B88" t="s">
        <v>435</v>
      </c>
      <c r="C88" t="s">
        <v>436</v>
      </c>
      <c r="D88" t="s">
        <v>30</v>
      </c>
      <c r="E88" t="s">
        <v>437</v>
      </c>
      <c r="F88" t="s">
        <v>437</v>
      </c>
      <c r="G88" t="s">
        <v>438</v>
      </c>
      <c r="H88" t="s">
        <v>31</v>
      </c>
      <c r="I88" t="s">
        <v>37</v>
      </c>
      <c r="J88">
        <v>1</v>
      </c>
      <c r="K88">
        <v>1</v>
      </c>
      <c r="N88">
        <v>0</v>
      </c>
      <c r="O88">
        <v>1</v>
      </c>
      <c r="T88">
        <v>1</v>
      </c>
      <c r="U88" t="s">
        <v>93</v>
      </c>
      <c r="V88" t="s">
        <v>93</v>
      </c>
      <c r="W88" t="s">
        <v>93</v>
      </c>
      <c r="X88" t="s">
        <v>29</v>
      </c>
    </row>
    <row r="91" spans="1:25" x14ac:dyDescent="0.25">
      <c r="A91">
        <f>COUNTA(A75:A90)</f>
        <v>14</v>
      </c>
      <c r="D91">
        <f>COUNTIF(D75:D90,"男")</f>
        <v>9</v>
      </c>
      <c r="K91">
        <f>SUM(K75:K90)</f>
        <v>5</v>
      </c>
      <c r="L91">
        <f t="shared" ref="L91:W91" si="4">SUM(L75:L90)</f>
        <v>5</v>
      </c>
      <c r="M91">
        <f t="shared" si="4"/>
        <v>2</v>
      </c>
      <c r="N91">
        <f t="shared" si="4"/>
        <v>3</v>
      </c>
      <c r="O91">
        <f t="shared" si="4"/>
        <v>14</v>
      </c>
      <c r="P91">
        <f t="shared" si="4"/>
        <v>8</v>
      </c>
      <c r="Q91">
        <f t="shared" si="4"/>
        <v>6</v>
      </c>
      <c r="R91">
        <f t="shared" si="4"/>
        <v>2</v>
      </c>
      <c r="S91">
        <f t="shared" si="4"/>
        <v>1</v>
      </c>
      <c r="T91">
        <f t="shared" si="4"/>
        <v>3</v>
      </c>
      <c r="U91">
        <f t="shared" si="4"/>
        <v>9</v>
      </c>
      <c r="V91">
        <f t="shared" si="4"/>
        <v>9</v>
      </c>
      <c r="W91">
        <f t="shared" si="4"/>
        <v>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健宁 李</cp:lastModifiedBy>
  <dcterms:modified xsi:type="dcterms:W3CDTF">2024-04-16T12:07:05Z</dcterms:modified>
  <cp:category/>
  <cp:contentStatus/>
</cp:coreProperties>
</file>